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vmoffice.sharepoint.com/sites/SEEDTeam16-202122/Shared Documents/General/Deliverables/Sprint 5/"/>
    </mc:Choice>
  </mc:AlternateContent>
  <xr:revisionPtr revIDLastSave="460" documentId="8_{B5FD6A7C-55E1-4E10-AFA0-A15C18EC5B6F}" xr6:coauthVersionLast="47" xr6:coauthVersionMax="47" xr10:uidLastSave="{7E44801B-71D1-4600-9C42-11FFBBB8D6FF}"/>
  <bookViews>
    <workbookView xWindow="5460" yWindow="2730" windowWidth="21600" windowHeight="11385" xr2:uid="{00000000-000D-0000-FFFF-FFFF00000000}"/>
  </bookViews>
  <sheets>
    <sheet name="Cover Page" sheetId="6" r:id="rId1"/>
    <sheet name="Ground Rules" sheetId="13" r:id="rId2"/>
    <sheet name="Scales" sheetId="9" r:id="rId3"/>
    <sheet name="FMEA - Form" sheetId="12" r:id="rId4"/>
  </sheets>
  <functionGroups builtInGroupCount="19"/>
  <definedNames>
    <definedName name="_xlnm.Print_Area" localSheetId="3">'FMEA - Form'!$C$2:$R$3</definedName>
    <definedName name="Z_3096EE8F_CB68_499D_8297_8D2CE0D81D4B_.wvu.Cols" localSheetId="3" hidden="1">'FMEA - Form'!#REF!,'FMEA - Form'!#REF!</definedName>
    <definedName name="Z_3096EE8F_CB68_499D_8297_8D2CE0D81D4B_.wvu.PrintArea" localSheetId="3" hidden="1">'FMEA - Form'!$C$2:$R$3</definedName>
    <definedName name="Z_3E63271B_A4C5_4543_8D1F_9AC2A110EC1A_.wvu.Cols" localSheetId="3" hidden="1">'FMEA - Form'!#REF!,'FMEA - Form'!#REF!</definedName>
    <definedName name="Z_3E63271B_A4C5_4543_8D1F_9AC2A110EC1A_.wvu.PrintArea" localSheetId="3" hidden="1">'FMEA - Form'!$C$2:$R$3</definedName>
    <definedName name="Z_7D17E19B_85AB_47F7_A074_C1C3EC9539AF_.wvu.Cols" localSheetId="3" hidden="1">'FMEA - Form'!#REF!,'FMEA - Form'!#REF!</definedName>
    <definedName name="Z_7D17E19B_85AB_47F7_A074_C1C3EC9539AF_.wvu.PrintArea" localSheetId="3" hidden="1">'FMEA - Form'!$C$2:$R$3</definedName>
    <definedName name="Z_B3CBD68A_DF3C_4959_8067_3FAA8C22C965_.wvu.Cols" localSheetId="3" hidden="1">'FMEA - Form'!#REF!,'FMEA - Form'!#REF!</definedName>
    <definedName name="Z_B3CBD68A_DF3C_4959_8067_3FAA8C22C965_.wvu.PrintArea" localSheetId="3" hidden="1">'FMEA - Form'!$C$2:$R$3</definedName>
    <definedName name="Z_BD2FA190_512C_408E_AA5F_4C351D06C575_.wvu.Cols" localSheetId="3" hidden="1">'FMEA - Form'!#REF!,'FMEA - Form'!#REF!</definedName>
    <definedName name="Z_BD2FA190_512C_408E_AA5F_4C351D06C575_.wvu.PrintArea" localSheetId="3" hidden="1">'FMEA - Form'!$C$2:$R$3</definedName>
    <definedName name="Z_F0FB6111_38F5_4EE0_BBC2_D3AC840E7C4D_.wvu.Cols" localSheetId="3" hidden="1">'FMEA - Form'!#REF!,'FMEA - Form'!#REF!</definedName>
    <definedName name="Z_F0FB6111_38F5_4EE0_BBC2_D3AC840E7C4D_.wvu.PrintArea" localSheetId="3" hidden="1">'FMEA - Form'!$C$2:$R$3</definedName>
    <definedName name="Z_F4BAE02D_292F_411D_B20E_F792CE1AD019_.wvu.Cols" localSheetId="3" hidden="1">'FMEA - Form'!#REF!,'FMEA - Form'!#REF!</definedName>
    <definedName name="Z_F4BAE02D_292F_411D_B20E_F792CE1AD019_.wvu.PrintArea" localSheetId="3" hidden="1">'FMEA - Form'!$C$2:$R$3</definedName>
  </definedNames>
  <calcPr calcId="191028"/>
  <customWorkbookViews>
    <customWorkbookView name="Brendan Taylor - Personal View" guid="{BD2FA190-512C-408E-AA5F-4C351D06C575}" mergeInterval="0" personalView="1" maximized="1" windowWidth="1276" windowHeight="637" activeSheetId="2"/>
    <customWorkbookView name="Jeff Petter - Personal View" guid="{3E63271B-A4C5-4543-8D1F-9AC2A110EC1A}" mergeInterval="0" personalView="1" maximized="1" windowWidth="1436" windowHeight="710" activeSheetId="2"/>
    <customWorkbookView name="D620_GI1 - Personal View" guid="{F0FB6111-38F5-4EE0-BBC2-D3AC840E7C4D}" mergeInterval="0" personalView="1" maximized="1" windowWidth="1276" windowHeight="611" activeSheetId="2"/>
    <customWorkbookView name="Austin Cate - Personal View" guid="{F4BAE02D-292F-411D-B20E-F792CE1AD019}" mergeInterval="0" personalView="1" maximized="1" windowWidth="1276" windowHeight="610" activeSheetId="2"/>
    <customWorkbookView name="Trevor Cole - Personal View" guid="{3096EE8F-CB68-499D-8297-8D2CE0D81D4B}" mergeInterval="0" personalView="1" maximized="1" windowWidth="851" windowHeight="531" activeSheetId="2"/>
    <customWorkbookView name="D610_GI3 - Personal View" guid="{7D17E19B-85AB-47F7-A074-C1C3EC9539AF}" mergeInterval="0" personalView="1" maximized="1" windowWidth="1020" windowHeight="583" activeSheetId="2"/>
    <customWorkbookView name="drand - Personal View" guid="{B3CBD68A-DF3C-4959-8067-3FAA8C22C965}" mergeInterval="0" personalView="1" maximized="1" windowWidth="1020" windowHeight="550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12" l="1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4" i="12"/>
  <c r="R56" i="12" l="1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5" i="12"/>
  <c r="R4" i="12"/>
</calcChain>
</file>

<file path=xl/sharedStrings.xml><?xml version="1.0" encoding="utf-8"?>
<sst xmlns="http://schemas.openxmlformats.org/spreadsheetml/2006/main" count="225" uniqueCount="164">
  <si>
    <t>Project 16 - Zen and The Art of Glitter Deposition</t>
  </si>
  <si>
    <t>Team Member #1</t>
  </si>
  <si>
    <t>Jake Varakian</t>
  </si>
  <si>
    <t>Team Member #2</t>
  </si>
  <si>
    <t>Helen Wang</t>
  </si>
  <si>
    <t>Team Member #3</t>
  </si>
  <si>
    <t>Emma Marston</t>
  </si>
  <si>
    <t>Team Member #4</t>
  </si>
  <si>
    <t>Anthony Vieriu</t>
  </si>
  <si>
    <t>Revision History</t>
  </si>
  <si>
    <t>Revision</t>
  </si>
  <si>
    <t>Date</t>
  </si>
  <si>
    <t>Description of Change</t>
  </si>
  <si>
    <t>First Release</t>
  </si>
  <si>
    <t>Bounds of FMEA</t>
  </si>
  <si>
    <t>Parts evaluated- Air Inlet (source and nozzle), Roller, Hopper</t>
  </si>
  <si>
    <t>Parts and system manufactured/assembled as designed</t>
  </si>
  <si>
    <t>Effects of failure are evaluated at user level</t>
  </si>
  <si>
    <t>Inputs/specification limits are correct and reflect design needs</t>
  </si>
  <si>
    <t>Design Use Profile</t>
  </si>
  <si>
    <t>Operated by conveyor technician, no user error</t>
  </si>
  <si>
    <t>Will be operated with a variety of powders</t>
  </si>
  <si>
    <t>Will be operated indoors in a manufacturing facility</t>
  </si>
  <si>
    <t>Will be running ~12 hours per day</t>
  </si>
  <si>
    <t xml:space="preserve">Regular inspections will be performed </t>
  </si>
  <si>
    <t>Module will be cleaned prior to use</t>
  </si>
  <si>
    <t>Quantity in use</t>
  </si>
  <si>
    <t>Assume 200 modules in use</t>
  </si>
  <si>
    <t>Other</t>
  </si>
  <si>
    <t>none</t>
  </si>
  <si>
    <t>Rating for Severity</t>
  </si>
  <si>
    <t>Rating</t>
  </si>
  <si>
    <t>Effect of Failure Mode</t>
  </si>
  <si>
    <t>Criteria</t>
  </si>
  <si>
    <t>Extreme</t>
  </si>
  <si>
    <t>Major damage caused to other assembly line components resulting in injury of conveyor technician</t>
  </si>
  <si>
    <t>Severe</t>
  </si>
  <si>
    <t>Major damage to other assembly line components, no harm to technician</t>
  </si>
  <si>
    <t>High</t>
  </si>
  <si>
    <t>Destruction of module and/or halting of assembly line.</t>
  </si>
  <si>
    <t>Moderate</t>
  </si>
  <si>
    <t>System failure resulting in material escaping the module, delay of assembly line</t>
  </si>
  <si>
    <t>Minimal</t>
  </si>
  <si>
    <t>Slight powder build-up as part of typical use</t>
  </si>
  <si>
    <t>No Effect</t>
  </si>
  <si>
    <t>No hazards present, module operates as intended</t>
  </si>
  <si>
    <t>Rating for Occurrence</t>
  </si>
  <si>
    <t>Likelihood of Occurrence</t>
  </si>
  <si>
    <t>Almost Certain</t>
  </si>
  <si>
    <t>Design will not prevent root cause from occuring. &gt;1 per year of operation</t>
  </si>
  <si>
    <t>Very High Chance</t>
  </si>
  <si>
    <t>Deisgn will not prevent root cause from occurring. 1/ module lifetime or 100% chance for each module in operation</t>
  </si>
  <si>
    <t>High Chance</t>
  </si>
  <si>
    <t>Low confidence the design will prevent root cause from occurring. 1/10 module lifetimes or 10% chance on every module in operation</t>
  </si>
  <si>
    <t>Moderate Chance</t>
  </si>
  <si>
    <t>Moderate confidence design will precent root cause. 1/100 module lifetimes or 1% chance on every module in operation.</t>
  </si>
  <si>
    <t>Low Chance</t>
  </si>
  <si>
    <t>extremely confident design will prevent root cause. 1/1,000 module lifetimes of 0.1% chance on every module in operation</t>
  </si>
  <si>
    <t>Almost Uncertain</t>
  </si>
  <si>
    <t xml:space="preserve">Design will prevent root cause from occuring 100% of the time. </t>
  </si>
  <si>
    <t>Rating for Detection</t>
  </si>
  <si>
    <t>Likelihood of Detection</t>
  </si>
  <si>
    <t>Failure impossible to detect with all detection controls.</t>
  </si>
  <si>
    <t xml:space="preserve">No targeted design detection controls. </t>
  </si>
  <si>
    <t>Failure unlikely to be detected with in-service detection controls.</t>
  </si>
  <si>
    <t>Failure may be detected with in-service detection controls.</t>
  </si>
  <si>
    <t xml:space="preserve">Failure may be detected with design detection controls that target the failure mode. </t>
  </si>
  <si>
    <t>Failure is likely to be detected with design detection controls that target the failure mode.</t>
  </si>
  <si>
    <t>Failure is certain to be detected with design detection controls that target the failure mode.</t>
  </si>
  <si>
    <t>1 - Item</t>
  </si>
  <si>
    <t>2 - Item Function(s)</t>
  </si>
  <si>
    <t>3 - Functional Failure Mode(s)</t>
  </si>
  <si>
    <t>4 - Potential Effect(s)
of Failure</t>
  </si>
  <si>
    <t>5 -
S
e
v</t>
  </si>
  <si>
    <t>6 - Root cause(s) of Failure</t>
  </si>
  <si>
    <t>7 - Current Prevention Control(s) (prevention of root cause)</t>
  </si>
  <si>
    <t>8 - O
c
c</t>
  </si>
  <si>
    <t>9 - Current Detection Controls
(detection of root cause)</t>
  </si>
  <si>
    <t>10  - D
e
t</t>
  </si>
  <si>
    <t>R
P
N</t>
  </si>
  <si>
    <t>12 - Recommended
Action(s)</t>
  </si>
  <si>
    <t>12 - Person Responsible and Target Completion
Date</t>
  </si>
  <si>
    <t>12 - Rescore when Action has been taken.</t>
  </si>
  <si>
    <t/>
  </si>
  <si>
    <t>Actions Taken</t>
  </si>
  <si>
    <t>S</t>
  </si>
  <si>
    <t>O</t>
  </si>
  <si>
    <t>D</t>
  </si>
  <si>
    <t>RPN</t>
  </si>
  <si>
    <t>Roller</t>
  </si>
  <si>
    <t>transfer glitter from hopper into the chamber</t>
  </si>
  <si>
    <t>Over deposition of glitter</t>
  </si>
  <si>
    <t xml:space="preserve">far too much material being inserted causing expensive waste.        too much material may be unable to adequately mix </t>
  </si>
  <si>
    <t xml:space="preserve">Deposition dimples are too big </t>
  </si>
  <si>
    <t>Compared volumes to client specified values</t>
  </si>
  <si>
    <t>Transparent walls to observe addition of glitter during testing</t>
  </si>
  <si>
    <t>adjust dimple size</t>
  </si>
  <si>
    <t>Jake Varakian 3/09</t>
  </si>
  <si>
    <t>Gaps between roller and hopper are too big</t>
  </si>
  <si>
    <t>Incorporated "sheath" around roller to seal gaps</t>
  </si>
  <si>
    <t>Tighten tolerances</t>
  </si>
  <si>
    <t>Anthony Vieriu 03/09</t>
  </si>
  <si>
    <t>Clumping of glitter during transfer</t>
  </si>
  <si>
    <t>Could jam roller.              Prevent mixing, resulting in inaddequate coating of product</t>
  </si>
  <si>
    <t>Emma Martson 3/09</t>
  </si>
  <si>
    <t>Particles loaded into hopper are already clumped</t>
  </si>
  <si>
    <t>Look into addition of mesh or sieve into hopper</t>
  </si>
  <si>
    <t>Emma Martson 4/1</t>
  </si>
  <si>
    <t>Under deposition of glitter</t>
  </si>
  <si>
    <t>Inaddequate coating</t>
  </si>
  <si>
    <t xml:space="preserve">Deposition dimples are too small </t>
  </si>
  <si>
    <t>Emma Martson 3/9</t>
  </si>
  <si>
    <t>Hopper</t>
  </si>
  <si>
    <t>To hold glitter for future depostion via the roller</t>
  </si>
  <si>
    <t>Hopper doesn’t guide glitter to roller</t>
  </si>
  <si>
    <t>No material gets added to the chamber.               Inaddequate coating.</t>
  </si>
  <si>
    <t>Invalid hopper geometry</t>
  </si>
  <si>
    <t>Adjust the geometry of the interior of the hopper</t>
  </si>
  <si>
    <t>Visual detection of glitter escaping exterior of hopper</t>
  </si>
  <si>
    <t>Tolerance issues</t>
  </si>
  <si>
    <t>Tolerance of 3D printer is taken into account during 3D modeling</t>
  </si>
  <si>
    <t>Visual assesment of hopper fit</t>
  </si>
  <si>
    <t>Alter tolerances</t>
  </si>
  <si>
    <t>Glitter escapes hopper not in the intended manner</t>
  </si>
  <si>
    <t>Glitter/powder escapes into the manufacturing location.           Expensive material waste.                              Potential damage to other machinery and possible injury to conveyor technician.</t>
  </si>
  <si>
    <t>Hopper isnt properly sealed</t>
  </si>
  <si>
    <t>tape to seal edges/connection points. Top of hopper is currently open to room</t>
  </si>
  <si>
    <t>Visual assesment of glitter leakage into testing environment</t>
  </si>
  <si>
    <t>look into other sealing options (glue gun, mechanical attachment, etc.)</t>
  </si>
  <si>
    <t>Helen Wang 3/9</t>
  </si>
  <si>
    <t>Used tape as a wall to seal the box as leakage fix</t>
  </si>
  <si>
    <t>Hopper is overfilled</t>
  </si>
  <si>
    <t>Visual assesment of glitter reloading into hopper</t>
  </si>
  <si>
    <t>add fill line/limit to hopper to inidicate max load</t>
  </si>
  <si>
    <t>Air Inlet (source and nozzle)</t>
  </si>
  <si>
    <t>To promote mixing of glitter to coat adhesive inside chamber</t>
  </si>
  <si>
    <t>Air source is too powerful</t>
  </si>
  <si>
    <t>Could blow glitter out of the chamber.                   Could cause hopper blowout.                          Could disturb adhesive.</t>
  </si>
  <si>
    <t>Air source settings are not adequate for this application</t>
  </si>
  <si>
    <t>have tried several air sources to find a good fit</t>
  </si>
  <si>
    <t>Visual assesment of glitter escaping chamber as well as adhesive pattern deformation.</t>
  </si>
  <si>
    <t>Try variable air sources and settings</t>
  </si>
  <si>
    <t>Helen Wang 2/23</t>
  </si>
  <si>
    <t>Nozzle accelerates flow too much (nozzle too small)</t>
  </si>
  <si>
    <t>Have tried several nozzles to find a good fit</t>
  </si>
  <si>
    <t>continue testing nozzles to optimize flow</t>
  </si>
  <si>
    <t>Jake Varakian 2/22</t>
  </si>
  <si>
    <t>Designed Air Blade adaptor for current nozzle</t>
  </si>
  <si>
    <t>Air source too weak</t>
  </si>
  <si>
    <t>Inaddequate coating.      Unable to circulate glitter.                         Unable to contain glitter within box.</t>
  </si>
  <si>
    <t>Transparent walls to observe glitter circulation and coating of adhesive inside chamber.</t>
  </si>
  <si>
    <t>Nozzle does not accelerates flow enough (nozzle too big)</t>
  </si>
  <si>
    <t>continue testing nozzles to optimize flow such as air blade adaptor for nozzle</t>
  </si>
  <si>
    <t>Contain glitter in chamber for reuse</t>
  </si>
  <si>
    <t>Could blow glitter out of the chamber or hopper.  Could disturb adhesive</t>
  </si>
  <si>
    <t>Have tried several air sources to find a good fit</t>
  </si>
  <si>
    <t>continue testing variable air sources and settings</t>
  </si>
  <si>
    <t>Emma Martson 2/23</t>
  </si>
  <si>
    <t>Tested variable air sources and settings</t>
  </si>
  <si>
    <t>Continue testing new nozzle designs such as air blade adaptor for nozzle</t>
  </si>
  <si>
    <t>Unable to contain glitter in chamber</t>
  </si>
  <si>
    <t>FMEA Title</t>
  </si>
  <si>
    <t>Glitter Module</t>
  </si>
  <si>
    <t>Failure Modes Effects Analysis - Glitter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</si>
</sst>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0"/>
      <color rgb="FF000000"/>
      <name val="Arial"/>
      <charset val="1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DEBF7"/>
        <bgColor rgb="FFDDEBF7"/>
      </patternFill>
    </fill>
    <fill>
      <patternFill patternType="solid">
        <fgColor rgb="FFDDEBF7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0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49" fontId="2" fillId="0" borderId="1" xfId="0" applyNumberFormat="1" applyFont="1" applyBorder="1" applyAlignment="1" applyProtection="1">
      <alignment vertical="top" wrapText="1"/>
      <protection locked="0"/>
    </xf>
    <xf numFmtId="49" fontId="2" fillId="0" borderId="2" xfId="0" applyNumberFormat="1" applyFont="1" applyBorder="1" applyAlignment="1" applyProtection="1">
      <alignment vertical="top" wrapText="1"/>
      <protection locked="0"/>
    </xf>
    <xf numFmtId="0" fontId="2" fillId="0" borderId="1" xfId="0" applyFont="1" applyBorder="1" applyAlignment="1" applyProtection="1">
      <alignment vertical="top" wrapText="1"/>
      <protection locked="0"/>
    </xf>
    <xf numFmtId="0" fontId="2" fillId="0" borderId="3" xfId="0" applyFont="1" applyBorder="1" applyAlignment="1" applyProtection="1">
      <alignment vertical="top" wrapText="1"/>
      <protection locked="0"/>
    </xf>
    <xf numFmtId="0" fontId="2" fillId="0" borderId="1" xfId="0" applyFont="1" applyBorder="1" applyAlignment="1" applyProtection="1">
      <alignment vertical="top" wrapText="1"/>
      <protection hidden="1"/>
    </xf>
    <xf numFmtId="0" fontId="0" fillId="0" borderId="1" xfId="0" applyBorder="1" applyAlignment="1" applyProtection="1">
      <alignment vertical="top" wrapText="1"/>
      <protection locked="0"/>
    </xf>
    <xf numFmtId="0" fontId="0" fillId="0" borderId="1" xfId="0" applyBorder="1" applyAlignment="1" applyProtection="1">
      <alignment vertical="top" wrapText="1"/>
      <protection hidden="1"/>
    </xf>
    <xf numFmtId="0" fontId="2" fillId="0" borderId="2" xfId="0" applyFont="1" applyBorder="1" applyAlignment="1" applyProtection="1">
      <alignment vertical="top" wrapText="1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2" fillId="0" borderId="0" xfId="1"/>
    <xf numFmtId="0" fontId="2" fillId="0" borderId="0" xfId="1" applyAlignment="1">
      <alignment vertical="top" wrapText="1"/>
    </xf>
    <xf numFmtId="0" fontId="4" fillId="0" borderId="0" xfId="1" applyFont="1" applyAlignment="1">
      <alignment horizontal="left" vertical="center"/>
    </xf>
    <xf numFmtId="0" fontId="6" fillId="0" borderId="0" xfId="1" applyFont="1"/>
    <xf numFmtId="0" fontId="7" fillId="0" borderId="4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2" fillId="0" borderId="6" xfId="1" applyBorder="1" applyAlignment="1">
      <alignment horizontal="center" vertical="center" wrapText="1"/>
    </xf>
    <xf numFmtId="14" fontId="2" fillId="0" borderId="7" xfId="1" applyNumberFormat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2" fillId="0" borderId="9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 wrapText="1"/>
    </xf>
    <xf numFmtId="0" fontId="2" fillId="0" borderId="10" xfId="1" applyBorder="1" applyAlignment="1">
      <alignment horizontal="center" vertical="center" wrapText="1"/>
    </xf>
    <xf numFmtId="0" fontId="6" fillId="0" borderId="0" xfId="1" applyFont="1" applyAlignment="1">
      <alignment horizontal="justify" vertical="top" wrapText="1"/>
    </xf>
    <xf numFmtId="0" fontId="6" fillId="0" borderId="0" xfId="1" applyFont="1" applyAlignment="1">
      <alignment horizontal="center" vertical="top" wrapText="1"/>
    </xf>
    <xf numFmtId="16" fontId="2" fillId="0" borderId="2" xfId="1" applyNumberFormat="1" applyBorder="1" applyAlignment="1">
      <alignment horizontal="center" vertical="center" wrapText="1"/>
    </xf>
    <xf numFmtId="14" fontId="2" fillId="0" borderId="2" xfId="1" applyNumberFormat="1" applyBorder="1" applyAlignment="1">
      <alignment horizontal="center" vertical="center" wrapText="1"/>
    </xf>
    <xf numFmtId="14" fontId="2" fillId="0" borderId="1" xfId="1" applyNumberFormat="1" applyBorder="1" applyAlignment="1">
      <alignment horizontal="center" vertical="center" wrapText="1"/>
    </xf>
    <xf numFmtId="0" fontId="1" fillId="0" borderId="11" xfId="0" applyFont="1" applyBorder="1" applyAlignment="1">
      <alignment vertical="top"/>
    </xf>
    <xf numFmtId="0" fontId="1" fillId="3" borderId="1" xfId="0" applyFont="1" applyFill="1" applyBorder="1"/>
    <xf numFmtId="0" fontId="2" fillId="4" borderId="1" xfId="0" applyFont="1" applyFill="1" applyBorder="1" applyAlignment="1">
      <alignment horizontal="center"/>
    </xf>
    <xf numFmtId="0" fontId="2" fillId="0" borderId="12" xfId="0" applyFont="1" applyBorder="1" applyAlignment="1" applyProtection="1">
      <alignment vertical="top" wrapText="1"/>
      <protection locked="0"/>
    </xf>
    <xf numFmtId="0" fontId="5" fillId="0" borderId="0" xfId="1" applyFont="1" applyAlignment="1">
      <alignment horizontal="center" vertical="center" wrapText="1"/>
    </xf>
    <xf numFmtId="0" fontId="0" fillId="0" borderId="0" xfId="0" applyAlignment="1">
      <alignment wrapText="1"/>
    </xf>
    <xf numFmtId="0" fontId="1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left" vertical="top" wrapText="1"/>
    </xf>
    <xf numFmtId="0" fontId="2" fillId="4" borderId="1" xfId="0" applyFont="1" applyFill="1" applyBorder="1" applyAlignment="1">
      <alignment horizontal="left" vertical="top" wrapText="1"/>
    </xf>
    <xf numFmtId="14" fontId="2" fillId="0" borderId="27" xfId="1" applyNumberForma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top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2" fillId="5" borderId="1" xfId="0" applyFont="1" applyFill="1" applyBorder="1" applyAlignment="1">
      <alignment vertical="top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wrapText="1"/>
    </xf>
    <xf numFmtId="0" fontId="4" fillId="0" borderId="28" xfId="0" applyFont="1" applyBorder="1" applyAlignment="1">
      <alignment horizontal="left" vertical="center"/>
    </xf>
    <xf numFmtId="0" fontId="1" fillId="0" borderId="0" xfId="0" applyFont="1"/>
    <xf numFmtId="0" fontId="2" fillId="0" borderId="0" xfId="0" applyFont="1"/>
    <xf numFmtId="0" fontId="2" fillId="0" borderId="1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0" fillId="5" borderId="1" xfId="0" applyFill="1" applyBorder="1" applyAlignment="1">
      <alignment wrapText="1"/>
    </xf>
    <xf numFmtId="0" fontId="2" fillId="6" borderId="1" xfId="0" applyFont="1" applyFill="1" applyBorder="1" applyAlignment="1">
      <alignment wrapText="1"/>
    </xf>
    <xf numFmtId="0" fontId="2" fillId="7" borderId="1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8" fillId="0" borderId="0" xfId="0" applyFont="1"/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2" fillId="0" borderId="15" xfId="1" applyBorder="1" applyAlignment="1">
      <alignment horizontal="left" vertical="center" wrapText="1"/>
    </xf>
    <xf numFmtId="0" fontId="2" fillId="0" borderId="16" xfId="1" applyBorder="1" applyAlignment="1">
      <alignment horizontal="left" vertical="center" wrapText="1"/>
    </xf>
    <xf numFmtId="0" fontId="2" fillId="0" borderId="17" xfId="1" applyBorder="1" applyAlignment="1">
      <alignment horizontal="left" vertical="center" wrapText="1"/>
    </xf>
    <xf numFmtId="0" fontId="2" fillId="0" borderId="18" xfId="1" applyBorder="1" applyAlignment="1">
      <alignment horizontal="left" vertical="center" wrapText="1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0" fontId="7" fillId="0" borderId="19" xfId="1" applyFont="1" applyBorder="1" applyAlignment="1">
      <alignment horizontal="left" vertical="center" wrapText="1" indent="1"/>
    </xf>
    <xf numFmtId="0" fontId="7" fillId="0" borderId="20" xfId="1" applyFont="1" applyBorder="1" applyAlignment="1">
      <alignment horizontal="left" vertical="center" wrapText="1" indent="1"/>
    </xf>
    <xf numFmtId="0" fontId="7" fillId="0" borderId="21" xfId="1" applyFont="1" applyBorder="1" applyAlignment="1">
      <alignment horizontal="left" vertical="center" wrapText="1" indent="1"/>
    </xf>
    <xf numFmtId="0" fontId="2" fillId="0" borderId="22" xfId="1" applyBorder="1" applyAlignment="1">
      <alignment horizontal="left" vertical="center" wrapText="1"/>
    </xf>
    <xf numFmtId="0" fontId="2" fillId="0" borderId="23" xfId="1" applyBorder="1" applyAlignment="1">
      <alignment horizontal="left" vertical="center" wrapText="1"/>
    </xf>
    <xf numFmtId="0" fontId="2" fillId="0" borderId="24" xfId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7" borderId="1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2" fillId="4" borderId="12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left" vertical="top" wrapText="1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top" wrapText="1"/>
    </xf>
    <xf numFmtId="0" fontId="2" fillId="0" borderId="1" xfId="0" applyFont="1" applyBorder="1" applyAlignment="1">
      <alignment vertical="top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25" xfId="0" applyFont="1" applyFill="1" applyBorder="1" applyAlignment="1">
      <alignment horizontal="left" vertical="center" wrapText="1"/>
    </xf>
    <xf numFmtId="0" fontId="1" fillId="2" borderId="26" xfId="0" applyFont="1" applyFill="1" applyBorder="1" applyAlignment="1">
      <alignment horizontal="left" vertical="center" wrapText="1"/>
    </xf>
    <xf numFmtId="0" fontId="1" fillId="2" borderId="25" xfId="0" applyFont="1" applyFill="1" applyBorder="1" applyAlignment="1">
      <alignment vertical="center"/>
    </xf>
    <xf numFmtId="0" fontId="1" fillId="2" borderId="26" xfId="0" applyFont="1" applyFill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" fillId="2" borderId="25" xfId="0" applyFont="1" applyFill="1" applyBorder="1" applyAlignment="1">
      <alignment vertical="center" wrapText="1"/>
    </xf>
    <xf numFmtId="0" fontId="1" fillId="2" borderId="26" xfId="0" applyFont="1" applyFill="1" applyBorder="1" applyAlignment="1">
      <alignment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9"/>
  <sheetViews>
    <sheetView tabSelected="1" zoomScaleNormal="100" workbookViewId="0">
      <selection activeCell="J5" sqref="J5"/>
    </sheetView>
  </sheetViews>
  <sheetFormatPr defaultColWidth="9.140625" defaultRowHeight="12.75" x14ac:dyDescent="0.2"/>
  <cols>
    <col min="1" max="2" width="1.7109375" style="15" customWidth="1"/>
    <col min="3" max="3" width="11.140625" style="15" customWidth="1"/>
    <col min="4" max="4" width="16.140625" style="15" customWidth="1"/>
    <col min="5" max="5" width="11.140625" style="15" customWidth="1"/>
    <col min="6" max="6" width="10.28515625" style="15" customWidth="1"/>
    <col min="7" max="7" width="13.7109375" style="15" customWidth="1"/>
    <col min="8" max="8" width="22.85546875" style="15" customWidth="1"/>
    <col min="9" max="9" width="1.7109375" style="15" customWidth="1"/>
    <col min="10" max="16384" width="9.140625" style="15"/>
  </cols>
  <sheetData>
    <row r="1" spans="2:8" ht="34.5" customHeight="1" x14ac:dyDescent="0.2">
      <c r="B1" s="67" t="s">
        <v>0</v>
      </c>
      <c r="C1" s="67"/>
      <c r="D1" s="67"/>
      <c r="E1" s="67"/>
      <c r="F1" s="67"/>
      <c r="G1" s="67"/>
      <c r="H1" s="67"/>
    </row>
    <row r="2" spans="2:8" ht="35.450000000000003" customHeight="1" x14ac:dyDescent="0.2">
      <c r="B2" s="68" t="s">
        <v>163</v>
      </c>
      <c r="C2" s="68"/>
      <c r="D2" s="68"/>
      <c r="E2" s="68"/>
      <c r="F2" s="68"/>
      <c r="G2" s="68"/>
      <c r="H2" s="68"/>
    </row>
    <row r="3" spans="2:8" ht="20.25" x14ac:dyDescent="0.2">
      <c r="B3" s="36"/>
      <c r="D3" s="15" t="s">
        <v>1</v>
      </c>
      <c r="E3" s="15" t="s">
        <v>2</v>
      </c>
    </row>
    <row r="4" spans="2:8" ht="20.25" x14ac:dyDescent="0.2">
      <c r="B4" s="36"/>
      <c r="D4" s="15" t="s">
        <v>3</v>
      </c>
      <c r="E4" s="15" t="s">
        <v>4</v>
      </c>
    </row>
    <row r="5" spans="2:8" ht="20.25" x14ac:dyDescent="0.2">
      <c r="B5" s="36"/>
      <c r="D5" s="15" t="s">
        <v>5</v>
      </c>
      <c r="E5" s="15" t="s">
        <v>6</v>
      </c>
    </row>
    <row r="6" spans="2:8" ht="20.25" x14ac:dyDescent="0.2">
      <c r="B6" s="36"/>
      <c r="D6" s="15" t="s">
        <v>7</v>
      </c>
      <c r="E6" s="15" t="s">
        <v>8</v>
      </c>
    </row>
    <row r="7" spans="2:8" x14ac:dyDescent="0.2">
      <c r="B7" s="16"/>
    </row>
    <row r="9" spans="2:8" ht="30.2" customHeight="1" thickBot="1" x14ac:dyDescent="0.25">
      <c r="B9" s="17" t="s">
        <v>9</v>
      </c>
      <c r="D9" s="18"/>
      <c r="E9" s="18"/>
      <c r="F9" s="18"/>
      <c r="G9" s="18"/>
      <c r="H9" s="18"/>
    </row>
    <row r="10" spans="2:8" ht="30.2" customHeight="1" thickBot="1" x14ac:dyDescent="0.25">
      <c r="C10" s="19" t="s">
        <v>10</v>
      </c>
      <c r="D10" s="20" t="s">
        <v>11</v>
      </c>
      <c r="E10" s="69" t="s">
        <v>12</v>
      </c>
      <c r="F10" s="70"/>
      <c r="G10" s="71"/>
    </row>
    <row r="11" spans="2:8" ht="39.200000000000003" customHeight="1" x14ac:dyDescent="0.2">
      <c r="C11" s="21">
        <v>1</v>
      </c>
      <c r="D11" s="22">
        <v>44617</v>
      </c>
      <c r="E11" s="72" t="s">
        <v>13</v>
      </c>
      <c r="F11" s="73"/>
      <c r="G11" s="74"/>
    </row>
    <row r="12" spans="2:8" ht="39.200000000000003" customHeight="1" x14ac:dyDescent="0.2">
      <c r="C12" s="23"/>
      <c r="D12" s="29"/>
      <c r="E12" s="61"/>
      <c r="F12" s="62"/>
      <c r="G12" s="63"/>
    </row>
    <row r="13" spans="2:8" ht="39.200000000000003" customHeight="1" x14ac:dyDescent="0.2">
      <c r="C13" s="23"/>
      <c r="D13" s="30"/>
      <c r="E13" s="61"/>
      <c r="F13" s="62"/>
      <c r="G13" s="63"/>
    </row>
    <row r="14" spans="2:8" ht="39.200000000000003" customHeight="1" x14ac:dyDescent="0.2">
      <c r="C14" s="23"/>
      <c r="D14" s="30"/>
      <c r="E14" s="61"/>
      <c r="F14" s="62"/>
      <c r="G14" s="63"/>
    </row>
    <row r="15" spans="2:8" ht="39.200000000000003" customHeight="1" x14ac:dyDescent="0.2">
      <c r="C15" s="24"/>
      <c r="D15" s="25"/>
      <c r="E15" s="61"/>
      <c r="F15" s="62"/>
      <c r="G15" s="63"/>
    </row>
    <row r="16" spans="2:8" ht="39.200000000000003" customHeight="1" x14ac:dyDescent="0.2">
      <c r="C16" s="24"/>
      <c r="D16" s="31"/>
      <c r="E16" s="61"/>
      <c r="F16" s="62"/>
      <c r="G16" s="63"/>
    </row>
    <row r="17" spans="3:8" ht="39.200000000000003" customHeight="1" thickBot="1" x14ac:dyDescent="0.25">
      <c r="C17" s="26"/>
      <c r="D17" s="41"/>
      <c r="E17" s="64"/>
      <c r="F17" s="65"/>
      <c r="G17" s="66"/>
    </row>
    <row r="18" spans="3:8" ht="15" x14ac:dyDescent="0.2">
      <c r="C18" s="27"/>
      <c r="D18" s="27"/>
      <c r="E18" s="27"/>
      <c r="F18" s="27"/>
      <c r="G18" s="28"/>
      <c r="H18" s="28"/>
    </row>
    <row r="19" spans="3:8" ht="15" x14ac:dyDescent="0.2">
      <c r="C19" s="27"/>
      <c r="D19" s="27"/>
      <c r="E19" s="27"/>
      <c r="F19" s="27"/>
      <c r="G19" s="28"/>
      <c r="H19" s="28"/>
    </row>
  </sheetData>
  <mergeCells count="10">
    <mergeCell ref="E14:G14"/>
    <mergeCell ref="E15:G15"/>
    <mergeCell ref="E16:G16"/>
    <mergeCell ref="E17:G17"/>
    <mergeCell ref="B1:H1"/>
    <mergeCell ref="B2:H2"/>
    <mergeCell ref="E10:G10"/>
    <mergeCell ref="E11:G11"/>
    <mergeCell ref="E12:G12"/>
    <mergeCell ref="E13:G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7"/>
  <sheetViews>
    <sheetView workbookViewId="0">
      <selection activeCell="A4" sqref="A4"/>
    </sheetView>
  </sheetViews>
  <sheetFormatPr defaultRowHeight="12.75" x14ac:dyDescent="0.2"/>
  <cols>
    <col min="1" max="1" width="59.5703125" customWidth="1"/>
  </cols>
  <sheetData>
    <row r="1" spans="1:1" x14ac:dyDescent="0.2">
      <c r="A1" s="51" t="s">
        <v>14</v>
      </c>
    </row>
    <row r="2" spans="1:1" x14ac:dyDescent="0.2">
      <c r="A2" s="52" t="s">
        <v>15</v>
      </c>
    </row>
    <row r="3" spans="1:1" x14ac:dyDescent="0.2">
      <c r="A3" t="s">
        <v>16</v>
      </c>
    </row>
    <row r="4" spans="1:1" x14ac:dyDescent="0.2">
      <c r="A4" t="s">
        <v>17</v>
      </c>
    </row>
    <row r="5" spans="1:1" x14ac:dyDescent="0.2">
      <c r="A5" t="s">
        <v>18</v>
      </c>
    </row>
    <row r="16" spans="1:1" x14ac:dyDescent="0.2">
      <c r="A16" s="51" t="s">
        <v>19</v>
      </c>
    </row>
    <row r="17" spans="1:1" x14ac:dyDescent="0.2">
      <c r="A17" s="52" t="s">
        <v>20</v>
      </c>
    </row>
    <row r="18" spans="1:1" x14ac:dyDescent="0.2">
      <c r="A18" t="s">
        <v>21</v>
      </c>
    </row>
    <row r="19" spans="1:1" x14ac:dyDescent="0.2">
      <c r="A19" t="s">
        <v>22</v>
      </c>
    </row>
    <row r="20" spans="1:1" x14ac:dyDescent="0.2">
      <c r="A20" t="s">
        <v>23</v>
      </c>
    </row>
    <row r="21" spans="1:1" x14ac:dyDescent="0.2">
      <c r="A21" t="s">
        <v>24</v>
      </c>
    </row>
    <row r="22" spans="1:1" x14ac:dyDescent="0.2">
      <c r="A22" t="s">
        <v>25</v>
      </c>
    </row>
    <row r="28" spans="1:1" x14ac:dyDescent="0.2">
      <c r="A28" s="51" t="s">
        <v>26</v>
      </c>
    </row>
    <row r="29" spans="1:1" x14ac:dyDescent="0.2">
      <c r="A29" s="52" t="s">
        <v>27</v>
      </c>
    </row>
    <row r="36" spans="1:1" x14ac:dyDescent="0.2">
      <c r="A36" s="51" t="s">
        <v>28</v>
      </c>
    </row>
    <row r="37" spans="1:1" x14ac:dyDescent="0.2">
      <c r="A37" s="52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8"/>
  <sheetViews>
    <sheetView workbookViewId="0">
      <selection activeCell="A29" sqref="A29"/>
    </sheetView>
  </sheetViews>
  <sheetFormatPr defaultRowHeight="12.75" x14ac:dyDescent="0.2"/>
  <cols>
    <col min="1" max="1" width="6.7109375" customWidth="1"/>
    <col min="2" max="2" width="23.28515625" customWidth="1"/>
    <col min="3" max="3" width="56.42578125" style="37" customWidth="1"/>
  </cols>
  <sheetData>
    <row r="1" spans="1:6" x14ac:dyDescent="0.2">
      <c r="A1" s="43" t="s">
        <v>30</v>
      </c>
      <c r="B1" s="43"/>
    </row>
    <row r="2" spans="1:6" x14ac:dyDescent="0.2">
      <c r="A2" s="33" t="s">
        <v>31</v>
      </c>
      <c r="B2" s="33" t="s">
        <v>32</v>
      </c>
      <c r="C2" s="38" t="s">
        <v>33</v>
      </c>
    </row>
    <row r="3" spans="1:6" ht="25.5" x14ac:dyDescent="0.2">
      <c r="A3" s="44">
        <v>10</v>
      </c>
      <c r="B3" s="40" t="s">
        <v>34</v>
      </c>
      <c r="C3" s="40" t="s">
        <v>35</v>
      </c>
    </row>
    <row r="4" spans="1:6" x14ac:dyDescent="0.2">
      <c r="A4" s="85">
        <v>9</v>
      </c>
      <c r="B4" s="86" t="s">
        <v>36</v>
      </c>
      <c r="C4" s="86" t="s">
        <v>37</v>
      </c>
    </row>
    <row r="5" spans="1:6" x14ac:dyDescent="0.2">
      <c r="A5" s="85"/>
      <c r="B5" s="86"/>
      <c r="C5" s="86"/>
    </row>
    <row r="6" spans="1:6" ht="12.75" customHeight="1" x14ac:dyDescent="0.2">
      <c r="A6" s="87">
        <v>7</v>
      </c>
      <c r="B6" s="88" t="s">
        <v>38</v>
      </c>
      <c r="C6" s="88" t="s">
        <v>39</v>
      </c>
    </row>
    <row r="7" spans="1:6" x14ac:dyDescent="0.2">
      <c r="A7" s="87"/>
      <c r="B7" s="88"/>
      <c r="C7" s="88"/>
    </row>
    <row r="8" spans="1:6" ht="12.75" customHeight="1" x14ac:dyDescent="0.2">
      <c r="A8" s="85">
        <v>5</v>
      </c>
      <c r="B8" s="86" t="s">
        <v>40</v>
      </c>
      <c r="C8" s="89" t="s">
        <v>41</v>
      </c>
    </row>
    <row r="9" spans="1:6" x14ac:dyDescent="0.2">
      <c r="A9" s="85"/>
      <c r="B9" s="86"/>
      <c r="C9" s="89"/>
    </row>
    <row r="10" spans="1:6" x14ac:dyDescent="0.2">
      <c r="A10" s="87">
        <v>3</v>
      </c>
      <c r="B10" s="88" t="s">
        <v>42</v>
      </c>
      <c r="C10" s="88" t="s">
        <v>43</v>
      </c>
    </row>
    <row r="11" spans="1:6" x14ac:dyDescent="0.2">
      <c r="A11" s="87"/>
      <c r="B11" s="88"/>
      <c r="C11" s="88"/>
    </row>
    <row r="12" spans="1:6" x14ac:dyDescent="0.2">
      <c r="A12" s="45">
        <v>1</v>
      </c>
      <c r="B12" s="39" t="s">
        <v>44</v>
      </c>
      <c r="C12" s="39" t="s">
        <v>45</v>
      </c>
    </row>
    <row r="14" spans="1:6" x14ac:dyDescent="0.2">
      <c r="A14" s="43" t="s">
        <v>46</v>
      </c>
      <c r="B14" s="43"/>
    </row>
    <row r="15" spans="1:6" x14ac:dyDescent="0.2">
      <c r="A15" s="33" t="s">
        <v>31</v>
      </c>
      <c r="B15" s="33" t="s">
        <v>47</v>
      </c>
      <c r="C15" s="38" t="s">
        <v>33</v>
      </c>
    </row>
    <row r="16" spans="1:6" ht="25.5" x14ac:dyDescent="0.2">
      <c r="A16" s="34">
        <v>10</v>
      </c>
      <c r="B16" s="46" t="s">
        <v>48</v>
      </c>
      <c r="C16" s="55" t="s">
        <v>49</v>
      </c>
      <c r="F16" s="37"/>
    </row>
    <row r="17" spans="1:3" x14ac:dyDescent="0.2">
      <c r="A17" s="77">
        <v>9</v>
      </c>
      <c r="B17" s="78" t="s">
        <v>50</v>
      </c>
      <c r="C17" s="79" t="s">
        <v>51</v>
      </c>
    </row>
    <row r="18" spans="1:3" x14ac:dyDescent="0.2">
      <c r="A18" s="77"/>
      <c r="B18" s="78"/>
      <c r="C18" s="80"/>
    </row>
    <row r="19" spans="1:3" x14ac:dyDescent="0.2">
      <c r="A19" s="75">
        <v>7</v>
      </c>
      <c r="B19" s="76" t="s">
        <v>52</v>
      </c>
      <c r="C19" s="83" t="s">
        <v>53</v>
      </c>
    </row>
    <row r="20" spans="1:3" x14ac:dyDescent="0.2">
      <c r="A20" s="75"/>
      <c r="B20" s="76"/>
      <c r="C20" s="84"/>
    </row>
    <row r="21" spans="1:3" x14ac:dyDescent="0.2">
      <c r="A21" s="77">
        <v>5</v>
      </c>
      <c r="B21" s="78" t="s">
        <v>54</v>
      </c>
      <c r="C21" s="79" t="s">
        <v>55</v>
      </c>
    </row>
    <row r="22" spans="1:3" x14ac:dyDescent="0.2">
      <c r="A22" s="77"/>
      <c r="B22" s="78"/>
      <c r="C22" s="80"/>
    </row>
    <row r="23" spans="1:3" x14ac:dyDescent="0.2">
      <c r="A23" s="75">
        <v>3</v>
      </c>
      <c r="B23" s="76" t="s">
        <v>56</v>
      </c>
      <c r="C23" s="83" t="s">
        <v>57</v>
      </c>
    </row>
    <row r="24" spans="1:3" x14ac:dyDescent="0.2">
      <c r="A24" s="75"/>
      <c r="B24" s="76"/>
      <c r="C24" s="84"/>
    </row>
    <row r="25" spans="1:3" x14ac:dyDescent="0.2">
      <c r="A25" s="47">
        <v>1</v>
      </c>
      <c r="B25" s="48" t="s">
        <v>58</v>
      </c>
      <c r="C25" s="49" t="s">
        <v>59</v>
      </c>
    </row>
    <row r="27" spans="1:3" x14ac:dyDescent="0.2">
      <c r="A27" s="32" t="s">
        <v>60</v>
      </c>
      <c r="B27" s="32"/>
    </row>
    <row r="28" spans="1:3" x14ac:dyDescent="0.2">
      <c r="A28" s="33" t="s">
        <v>31</v>
      </c>
      <c r="B28" s="33" t="s">
        <v>61</v>
      </c>
      <c r="C28" s="38" t="s">
        <v>33</v>
      </c>
    </row>
    <row r="29" spans="1:3" x14ac:dyDescent="0.2">
      <c r="A29" s="34">
        <v>10</v>
      </c>
      <c r="B29" s="46" t="s">
        <v>58</v>
      </c>
      <c r="C29" s="56" t="s">
        <v>62</v>
      </c>
    </row>
    <row r="30" spans="1:3" x14ac:dyDescent="0.2">
      <c r="A30" s="77">
        <v>9</v>
      </c>
      <c r="B30" s="78" t="s">
        <v>56</v>
      </c>
      <c r="C30" s="53" t="s">
        <v>63</v>
      </c>
    </row>
    <row r="31" spans="1:3" x14ac:dyDescent="0.2">
      <c r="A31" s="77">
        <v>8</v>
      </c>
      <c r="B31" s="78"/>
      <c r="C31" s="54" t="s">
        <v>64</v>
      </c>
    </row>
    <row r="32" spans="1:3" x14ac:dyDescent="0.2">
      <c r="A32" s="75">
        <v>7</v>
      </c>
      <c r="B32" s="76" t="s">
        <v>54</v>
      </c>
      <c r="C32" s="57" t="s">
        <v>63</v>
      </c>
    </row>
    <row r="33" spans="1:3" x14ac:dyDescent="0.2">
      <c r="A33" s="75">
        <v>6</v>
      </c>
      <c r="B33" s="76"/>
      <c r="C33" s="58" t="s">
        <v>65</v>
      </c>
    </row>
    <row r="34" spans="1:3" ht="25.5" x14ac:dyDescent="0.2">
      <c r="A34" s="77">
        <v>5</v>
      </c>
      <c r="B34" s="78" t="s">
        <v>52</v>
      </c>
      <c r="C34" s="53" t="s">
        <v>66</v>
      </c>
    </row>
    <row r="35" spans="1:3" x14ac:dyDescent="0.2">
      <c r="A35" s="77">
        <v>4</v>
      </c>
      <c r="B35" s="78"/>
      <c r="C35" s="54"/>
    </row>
    <row r="36" spans="1:3" ht="12.75" customHeight="1" x14ac:dyDescent="0.2">
      <c r="A36" s="75">
        <v>3</v>
      </c>
      <c r="B36" s="76" t="s">
        <v>50</v>
      </c>
      <c r="C36" s="81" t="s">
        <v>67</v>
      </c>
    </row>
    <row r="37" spans="1:3" x14ac:dyDescent="0.2">
      <c r="A37" s="75">
        <v>2</v>
      </c>
      <c r="B37" s="76"/>
      <c r="C37" s="82"/>
    </row>
    <row r="38" spans="1:3" ht="25.5" x14ac:dyDescent="0.2">
      <c r="A38" s="47">
        <v>1</v>
      </c>
      <c r="B38" s="48" t="s">
        <v>48</v>
      </c>
      <c r="C38" s="49" t="s">
        <v>68</v>
      </c>
    </row>
  </sheetData>
  <mergeCells count="33">
    <mergeCell ref="C36:C37"/>
    <mergeCell ref="C19:C20"/>
    <mergeCell ref="C21:C22"/>
    <mergeCell ref="C23:C24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7:A18"/>
    <mergeCell ref="A19:A20"/>
    <mergeCell ref="A21:A22"/>
    <mergeCell ref="A23:A24"/>
    <mergeCell ref="B30:B31"/>
    <mergeCell ref="A30:A31"/>
    <mergeCell ref="C17:C18"/>
    <mergeCell ref="B23:B24"/>
    <mergeCell ref="B17:B18"/>
    <mergeCell ref="B19:B20"/>
    <mergeCell ref="B21:B22"/>
    <mergeCell ref="A32:A33"/>
    <mergeCell ref="B32:B33"/>
    <mergeCell ref="A34:A35"/>
    <mergeCell ref="B34:B35"/>
    <mergeCell ref="A36:A37"/>
    <mergeCell ref="B36:B37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R56"/>
  <sheetViews>
    <sheetView zoomScale="85" zoomScaleNormal="85" workbookViewId="0">
      <pane ySplit="3" topLeftCell="A4" activePane="bottomLeft" state="frozen"/>
      <selection pane="bottomLeft" activeCell="C4" sqref="C4"/>
    </sheetView>
  </sheetViews>
  <sheetFormatPr defaultRowHeight="12.75" x14ac:dyDescent="0.2"/>
  <cols>
    <col min="1" max="1" width="19.5703125" style="2" bestFit="1" customWidth="1"/>
    <col min="2" max="2" width="21.5703125" style="2" customWidth="1"/>
    <col min="3" max="3" width="20" style="2" customWidth="1"/>
    <col min="4" max="4" width="20.7109375" style="2" bestFit="1" customWidth="1"/>
    <col min="5" max="5" width="6.5703125" style="3" customWidth="1"/>
    <col min="6" max="6" width="27" style="2" customWidth="1"/>
    <col min="7" max="7" width="31.7109375" style="2" customWidth="1"/>
    <col min="8" max="8" width="8.140625" style="3" customWidth="1"/>
    <col min="9" max="9" width="31.7109375" style="2" customWidth="1"/>
    <col min="10" max="10" width="9.28515625" style="3" customWidth="1"/>
    <col min="11" max="11" width="5.5703125" style="1" bestFit="1" customWidth="1"/>
    <col min="12" max="12" width="28.5703125" style="2" customWidth="1"/>
    <col min="13" max="13" width="24.5703125" style="2" customWidth="1"/>
    <col min="14" max="14" width="39.42578125" style="2" customWidth="1"/>
    <col min="15" max="15" width="3.42578125" style="2" bestFit="1" customWidth="1"/>
    <col min="16" max="16" width="3.28515625" style="2" bestFit="1" customWidth="1"/>
    <col min="17" max="17" width="3.28515625" style="2" customWidth="1"/>
    <col min="18" max="18" width="5.5703125" style="2" bestFit="1" customWidth="1"/>
  </cols>
  <sheetData>
    <row r="1" spans="1:18" ht="24" customHeight="1" thickBot="1" x14ac:dyDescent="0.25">
      <c r="A1" s="50" t="s">
        <v>161</v>
      </c>
      <c r="B1" s="99" t="s">
        <v>162</v>
      </c>
      <c r="C1" s="100"/>
      <c r="E1" s="42"/>
      <c r="H1" s="42"/>
      <c r="J1" s="42"/>
    </row>
    <row r="2" spans="1:18" ht="33" customHeight="1" x14ac:dyDescent="0.2">
      <c r="A2" s="93" t="s">
        <v>69</v>
      </c>
      <c r="B2" s="93" t="s">
        <v>70</v>
      </c>
      <c r="C2" s="93" t="s">
        <v>71</v>
      </c>
      <c r="D2" s="95" t="s">
        <v>72</v>
      </c>
      <c r="E2" s="97" t="s">
        <v>73</v>
      </c>
      <c r="F2" s="95" t="s">
        <v>74</v>
      </c>
      <c r="G2" s="95" t="s">
        <v>75</v>
      </c>
      <c r="H2" s="97" t="s">
        <v>76</v>
      </c>
      <c r="I2" s="95" t="s">
        <v>77</v>
      </c>
      <c r="J2" s="97" t="s">
        <v>78</v>
      </c>
      <c r="K2" s="101" t="s">
        <v>79</v>
      </c>
      <c r="L2" s="95" t="s">
        <v>80</v>
      </c>
      <c r="M2" s="95" t="s">
        <v>81</v>
      </c>
      <c r="N2" s="90" t="s">
        <v>82</v>
      </c>
      <c r="O2" s="91"/>
      <c r="P2" s="91"/>
      <c r="Q2" s="91"/>
      <c r="R2" s="92"/>
    </row>
    <row r="3" spans="1:18" ht="17.25" customHeight="1" x14ac:dyDescent="0.2">
      <c r="A3" s="94"/>
      <c r="B3" s="94"/>
      <c r="C3" s="94"/>
      <c r="D3" s="96"/>
      <c r="E3" s="98"/>
      <c r="F3" s="96"/>
      <c r="G3" s="96"/>
      <c r="H3" s="98"/>
      <c r="I3" s="96"/>
      <c r="J3" s="98"/>
      <c r="K3" s="102" t="s">
        <v>83</v>
      </c>
      <c r="L3" s="96"/>
      <c r="M3" s="96"/>
      <c r="N3" s="4" t="s">
        <v>84</v>
      </c>
      <c r="O3" s="5" t="s">
        <v>85</v>
      </c>
      <c r="P3" s="5" t="s">
        <v>86</v>
      </c>
      <c r="Q3" s="5" t="s">
        <v>87</v>
      </c>
      <c r="R3" s="5" t="s">
        <v>88</v>
      </c>
    </row>
    <row r="4" spans="1:18" ht="76.5" x14ac:dyDescent="0.2">
      <c r="A4" s="6" t="s">
        <v>89</v>
      </c>
      <c r="B4" s="6" t="s">
        <v>90</v>
      </c>
      <c r="C4" s="6" t="s">
        <v>91</v>
      </c>
      <c r="D4" s="6" t="s">
        <v>92</v>
      </c>
      <c r="E4" s="35">
        <v>5</v>
      </c>
      <c r="F4" s="6" t="s">
        <v>93</v>
      </c>
      <c r="G4" s="6" t="s">
        <v>94</v>
      </c>
      <c r="H4" s="8">
        <v>3</v>
      </c>
      <c r="I4" s="6" t="s">
        <v>95</v>
      </c>
      <c r="J4" s="9">
        <v>5</v>
      </c>
      <c r="K4" s="10">
        <f t="shared" ref="K4:K35" si="0">E4*H4*J4</f>
        <v>75</v>
      </c>
      <c r="L4" s="6" t="s">
        <v>96</v>
      </c>
      <c r="M4" s="8" t="s">
        <v>97</v>
      </c>
      <c r="N4" s="11"/>
      <c r="O4" s="11">
        <v>1</v>
      </c>
      <c r="P4" s="11">
        <v>1</v>
      </c>
      <c r="Q4" s="11">
        <v>5</v>
      </c>
      <c r="R4" s="12">
        <f t="shared" ref="R4:R56" si="1">O4*P4*Q4</f>
        <v>5</v>
      </c>
    </row>
    <row r="5" spans="1:18" ht="25.5" x14ac:dyDescent="0.2">
      <c r="A5" s="6"/>
      <c r="B5" s="6"/>
      <c r="C5" s="59"/>
      <c r="D5" s="6"/>
      <c r="E5" s="35">
        <v>5</v>
      </c>
      <c r="F5" s="6" t="s">
        <v>98</v>
      </c>
      <c r="G5" s="6" t="s">
        <v>99</v>
      </c>
      <c r="H5" s="8">
        <v>3</v>
      </c>
      <c r="I5" s="6" t="s">
        <v>95</v>
      </c>
      <c r="J5" s="9">
        <v>5</v>
      </c>
      <c r="K5" s="10">
        <f t="shared" si="0"/>
        <v>75</v>
      </c>
      <c r="L5" s="6" t="s">
        <v>100</v>
      </c>
      <c r="M5" s="8" t="s">
        <v>101</v>
      </c>
      <c r="N5" s="11"/>
      <c r="O5" s="11">
        <v>3</v>
      </c>
      <c r="P5" s="11">
        <v>1</v>
      </c>
      <c r="Q5" s="11">
        <v>5</v>
      </c>
      <c r="R5" s="12">
        <f t="shared" si="1"/>
        <v>15</v>
      </c>
    </row>
    <row r="6" spans="1:18" ht="63.75" x14ac:dyDescent="0.2">
      <c r="A6" s="6"/>
      <c r="B6" s="6"/>
      <c r="C6" s="6" t="s">
        <v>102</v>
      </c>
      <c r="D6" s="6" t="s">
        <v>103</v>
      </c>
      <c r="E6" s="35">
        <v>7</v>
      </c>
      <c r="F6" s="6" t="s">
        <v>93</v>
      </c>
      <c r="G6" s="6" t="s">
        <v>94</v>
      </c>
      <c r="H6" s="8">
        <v>3</v>
      </c>
      <c r="I6" s="6" t="s">
        <v>95</v>
      </c>
      <c r="J6" s="9">
        <v>5</v>
      </c>
      <c r="K6" s="10">
        <f t="shared" si="0"/>
        <v>105</v>
      </c>
      <c r="L6" s="6" t="s">
        <v>96</v>
      </c>
      <c r="M6" s="60" t="s">
        <v>104</v>
      </c>
      <c r="N6" s="11"/>
      <c r="O6" s="11">
        <v>1</v>
      </c>
      <c r="P6" s="11">
        <v>1</v>
      </c>
      <c r="Q6" s="11">
        <v>5</v>
      </c>
      <c r="R6" s="12">
        <f t="shared" si="1"/>
        <v>5</v>
      </c>
    </row>
    <row r="7" spans="1:18" ht="25.5" x14ac:dyDescent="0.2">
      <c r="A7" s="6"/>
      <c r="B7" s="6"/>
      <c r="C7" s="6"/>
      <c r="D7" s="6"/>
      <c r="E7" s="35">
        <v>5</v>
      </c>
      <c r="F7" s="6" t="s">
        <v>98</v>
      </c>
      <c r="G7" s="6" t="s">
        <v>99</v>
      </c>
      <c r="H7" s="8">
        <v>3</v>
      </c>
      <c r="I7" s="6" t="s">
        <v>95</v>
      </c>
      <c r="J7" s="9">
        <v>5</v>
      </c>
      <c r="K7" s="10">
        <f t="shared" si="0"/>
        <v>75</v>
      </c>
      <c r="L7" s="6" t="s">
        <v>100</v>
      </c>
      <c r="M7" s="60" t="s">
        <v>101</v>
      </c>
      <c r="N7" s="11"/>
      <c r="O7" s="11">
        <v>3</v>
      </c>
      <c r="P7" s="11">
        <v>1</v>
      </c>
      <c r="Q7" s="11">
        <v>5</v>
      </c>
      <c r="R7" s="12">
        <f t="shared" si="1"/>
        <v>15</v>
      </c>
    </row>
    <row r="8" spans="1:18" ht="25.5" x14ac:dyDescent="0.2">
      <c r="A8" s="6"/>
      <c r="B8" s="6"/>
      <c r="C8" s="6"/>
      <c r="D8" s="6"/>
      <c r="E8" s="35">
        <v>5</v>
      </c>
      <c r="F8" s="6" t="s">
        <v>105</v>
      </c>
      <c r="G8" s="6" t="s">
        <v>29</v>
      </c>
      <c r="H8" s="8">
        <v>5</v>
      </c>
      <c r="I8" s="6" t="s">
        <v>95</v>
      </c>
      <c r="J8" s="9">
        <v>5</v>
      </c>
      <c r="K8" s="10">
        <f t="shared" si="0"/>
        <v>125</v>
      </c>
      <c r="L8" s="6" t="s">
        <v>106</v>
      </c>
      <c r="M8" s="60" t="s">
        <v>107</v>
      </c>
      <c r="N8" s="8"/>
      <c r="O8" s="11">
        <v>1</v>
      </c>
      <c r="P8" s="11">
        <v>3</v>
      </c>
      <c r="Q8" s="11">
        <v>5</v>
      </c>
      <c r="R8" s="12">
        <f t="shared" si="1"/>
        <v>15</v>
      </c>
    </row>
    <row r="9" spans="1:18" ht="25.5" x14ac:dyDescent="0.2">
      <c r="A9" s="6"/>
      <c r="B9" s="6"/>
      <c r="C9" s="6" t="s">
        <v>108</v>
      </c>
      <c r="D9" s="6" t="s">
        <v>109</v>
      </c>
      <c r="E9" s="35">
        <v>5</v>
      </c>
      <c r="F9" s="6" t="s">
        <v>110</v>
      </c>
      <c r="G9" s="6" t="s">
        <v>94</v>
      </c>
      <c r="H9" s="8">
        <v>3</v>
      </c>
      <c r="I9" s="6" t="s">
        <v>95</v>
      </c>
      <c r="J9" s="9">
        <v>3</v>
      </c>
      <c r="K9" s="10">
        <f t="shared" si="0"/>
        <v>45</v>
      </c>
      <c r="L9" s="6" t="s">
        <v>96</v>
      </c>
      <c r="M9" s="60" t="s">
        <v>111</v>
      </c>
      <c r="N9" s="11"/>
      <c r="O9" s="11">
        <v>1</v>
      </c>
      <c r="P9" s="11">
        <v>1</v>
      </c>
      <c r="Q9" s="11">
        <v>5</v>
      </c>
      <c r="R9" s="12">
        <f t="shared" si="1"/>
        <v>5</v>
      </c>
    </row>
    <row r="10" spans="1:18" ht="38.25" x14ac:dyDescent="0.2">
      <c r="A10" s="6" t="s">
        <v>112</v>
      </c>
      <c r="B10" s="6" t="s">
        <v>113</v>
      </c>
      <c r="C10" s="6" t="s">
        <v>114</v>
      </c>
      <c r="D10" s="6" t="s">
        <v>115</v>
      </c>
      <c r="E10" s="8">
        <v>5</v>
      </c>
      <c r="F10" s="6" t="s">
        <v>116</v>
      </c>
      <c r="G10" s="6" t="s">
        <v>117</v>
      </c>
      <c r="H10" s="8">
        <v>3</v>
      </c>
      <c r="I10" s="6" t="s">
        <v>118</v>
      </c>
      <c r="J10" s="9">
        <v>5</v>
      </c>
      <c r="K10" s="10">
        <f t="shared" si="0"/>
        <v>75</v>
      </c>
      <c r="L10" s="6" t="s">
        <v>117</v>
      </c>
      <c r="M10" s="60" t="s">
        <v>111</v>
      </c>
      <c r="N10" s="11"/>
      <c r="O10" s="11">
        <v>1</v>
      </c>
      <c r="P10" s="11">
        <v>1</v>
      </c>
      <c r="Q10" s="11">
        <v>5</v>
      </c>
      <c r="R10" s="12">
        <f t="shared" si="1"/>
        <v>5</v>
      </c>
    </row>
    <row r="11" spans="1:18" ht="25.5" x14ac:dyDescent="0.2">
      <c r="A11" s="6"/>
      <c r="B11" s="6"/>
      <c r="C11" s="6"/>
      <c r="D11" s="6"/>
      <c r="E11" s="8">
        <v>3</v>
      </c>
      <c r="F11" s="6" t="s">
        <v>119</v>
      </c>
      <c r="G11" s="6" t="s">
        <v>120</v>
      </c>
      <c r="H11" s="8">
        <v>9</v>
      </c>
      <c r="I11" s="6" t="s">
        <v>121</v>
      </c>
      <c r="J11" s="9">
        <v>5</v>
      </c>
      <c r="K11" s="10">
        <f t="shared" si="0"/>
        <v>135</v>
      </c>
      <c r="L11" s="6" t="s">
        <v>122</v>
      </c>
      <c r="M11" s="60" t="s">
        <v>101</v>
      </c>
      <c r="N11" s="11"/>
      <c r="O11" s="11">
        <v>1</v>
      </c>
      <c r="P11" s="11">
        <v>1</v>
      </c>
      <c r="Q11" s="11">
        <v>5</v>
      </c>
      <c r="R11" s="12">
        <f t="shared" si="1"/>
        <v>5</v>
      </c>
    </row>
    <row r="12" spans="1:18" ht="114.75" x14ac:dyDescent="0.2">
      <c r="A12" s="6"/>
      <c r="B12" s="6"/>
      <c r="C12" s="6" t="s">
        <v>123</v>
      </c>
      <c r="D12" s="6" t="s">
        <v>124</v>
      </c>
      <c r="E12" s="8">
        <v>10</v>
      </c>
      <c r="F12" s="6" t="s">
        <v>125</v>
      </c>
      <c r="G12" s="6" t="s">
        <v>126</v>
      </c>
      <c r="H12" s="8">
        <v>10</v>
      </c>
      <c r="I12" s="6" t="s">
        <v>127</v>
      </c>
      <c r="J12" s="9">
        <v>5</v>
      </c>
      <c r="K12" s="10">
        <f t="shared" si="0"/>
        <v>500</v>
      </c>
      <c r="L12" s="8" t="s">
        <v>128</v>
      </c>
      <c r="M12" s="8" t="s">
        <v>129</v>
      </c>
      <c r="N12" s="11" t="s">
        <v>130</v>
      </c>
      <c r="O12" s="11">
        <v>5</v>
      </c>
      <c r="P12" s="11">
        <v>5</v>
      </c>
      <c r="Q12" s="11">
        <v>5</v>
      </c>
      <c r="R12" s="12">
        <f t="shared" si="1"/>
        <v>125</v>
      </c>
    </row>
    <row r="13" spans="1:18" ht="25.5" x14ac:dyDescent="0.2">
      <c r="A13" s="6"/>
      <c r="B13" s="6"/>
      <c r="C13" s="6"/>
      <c r="D13" s="6"/>
      <c r="E13" s="8">
        <v>9</v>
      </c>
      <c r="F13" s="6" t="s">
        <v>131</v>
      </c>
      <c r="G13" s="6" t="s">
        <v>29</v>
      </c>
      <c r="H13" s="8">
        <v>1</v>
      </c>
      <c r="I13" s="6" t="s">
        <v>132</v>
      </c>
      <c r="J13" s="9">
        <v>3</v>
      </c>
      <c r="K13" s="10">
        <f t="shared" si="0"/>
        <v>27</v>
      </c>
      <c r="L13" s="8" t="s">
        <v>133</v>
      </c>
      <c r="M13" s="8" t="s">
        <v>101</v>
      </c>
      <c r="N13" s="11"/>
      <c r="O13" s="11">
        <v>9</v>
      </c>
      <c r="P13" s="11">
        <v>1</v>
      </c>
      <c r="Q13" s="11">
        <v>1</v>
      </c>
      <c r="R13" s="12">
        <f t="shared" si="1"/>
        <v>9</v>
      </c>
    </row>
    <row r="14" spans="1:18" ht="63.75" x14ac:dyDescent="0.2">
      <c r="A14" s="6" t="s">
        <v>134</v>
      </c>
      <c r="B14" s="6" t="s">
        <v>135</v>
      </c>
      <c r="C14" s="6" t="s">
        <v>136</v>
      </c>
      <c r="D14" s="6" t="s">
        <v>137</v>
      </c>
      <c r="E14" s="8">
        <v>10</v>
      </c>
      <c r="F14" s="6" t="s">
        <v>138</v>
      </c>
      <c r="G14" s="6" t="s">
        <v>139</v>
      </c>
      <c r="H14" s="8">
        <v>3</v>
      </c>
      <c r="I14" s="6" t="s">
        <v>140</v>
      </c>
      <c r="J14" s="9">
        <v>3</v>
      </c>
      <c r="K14" s="10">
        <f t="shared" si="0"/>
        <v>90</v>
      </c>
      <c r="L14" s="8" t="s">
        <v>141</v>
      </c>
      <c r="M14" s="60" t="s">
        <v>142</v>
      </c>
      <c r="N14" s="11"/>
      <c r="O14" s="11">
        <v>9</v>
      </c>
      <c r="P14" s="11">
        <v>3</v>
      </c>
      <c r="Q14" s="11">
        <v>1</v>
      </c>
      <c r="R14" s="12">
        <f t="shared" si="1"/>
        <v>27</v>
      </c>
    </row>
    <row r="15" spans="1:18" ht="38.25" x14ac:dyDescent="0.2">
      <c r="A15" s="6"/>
      <c r="B15" s="6"/>
      <c r="C15" s="6"/>
      <c r="D15" s="6"/>
      <c r="E15" s="8">
        <v>10</v>
      </c>
      <c r="F15" s="6" t="s">
        <v>143</v>
      </c>
      <c r="G15" s="6" t="s">
        <v>144</v>
      </c>
      <c r="H15" s="8">
        <v>5</v>
      </c>
      <c r="I15" s="6" t="s">
        <v>140</v>
      </c>
      <c r="J15" s="9">
        <v>3</v>
      </c>
      <c r="K15" s="10">
        <f t="shared" si="0"/>
        <v>150</v>
      </c>
      <c r="L15" s="8" t="s">
        <v>145</v>
      </c>
      <c r="M15" s="8" t="s">
        <v>146</v>
      </c>
      <c r="N15" s="11" t="s">
        <v>147</v>
      </c>
      <c r="O15" s="11">
        <v>9</v>
      </c>
      <c r="P15" s="11">
        <v>3</v>
      </c>
      <c r="Q15" s="11">
        <v>3</v>
      </c>
      <c r="R15" s="12">
        <f t="shared" si="1"/>
        <v>81</v>
      </c>
    </row>
    <row r="16" spans="1:18" ht="63.75" x14ac:dyDescent="0.2">
      <c r="A16" s="6"/>
      <c r="B16" s="6"/>
      <c r="C16" s="6" t="s">
        <v>148</v>
      </c>
      <c r="D16" s="6" t="s">
        <v>149</v>
      </c>
      <c r="E16" s="8">
        <v>7</v>
      </c>
      <c r="F16" s="6" t="s">
        <v>138</v>
      </c>
      <c r="G16" s="6" t="s">
        <v>139</v>
      </c>
      <c r="H16" s="8">
        <v>7</v>
      </c>
      <c r="I16" s="6" t="s">
        <v>150</v>
      </c>
      <c r="J16" s="9">
        <v>5</v>
      </c>
      <c r="K16" s="10">
        <f t="shared" si="0"/>
        <v>245</v>
      </c>
      <c r="L16" s="8" t="s">
        <v>141</v>
      </c>
      <c r="M16" s="60" t="s">
        <v>142</v>
      </c>
      <c r="N16" s="11"/>
      <c r="O16" s="11">
        <v>5</v>
      </c>
      <c r="P16" s="11">
        <v>5</v>
      </c>
      <c r="Q16" s="11">
        <v>5</v>
      </c>
      <c r="R16" s="12">
        <f t="shared" si="1"/>
        <v>125</v>
      </c>
    </row>
    <row r="17" spans="1:18" ht="38.25" x14ac:dyDescent="0.2">
      <c r="A17" s="6"/>
      <c r="B17" s="6"/>
      <c r="C17" s="6"/>
      <c r="D17" s="6"/>
      <c r="E17" s="8">
        <v>7</v>
      </c>
      <c r="F17" s="6" t="s">
        <v>151</v>
      </c>
      <c r="G17" s="6" t="s">
        <v>144</v>
      </c>
      <c r="H17" s="8">
        <v>5</v>
      </c>
      <c r="I17" s="6" t="s">
        <v>150</v>
      </c>
      <c r="J17" s="9">
        <v>5</v>
      </c>
      <c r="K17" s="10">
        <f t="shared" si="0"/>
        <v>175</v>
      </c>
      <c r="L17" s="8" t="s">
        <v>152</v>
      </c>
      <c r="M17" s="8" t="s">
        <v>146</v>
      </c>
      <c r="N17" s="11" t="s">
        <v>147</v>
      </c>
      <c r="O17" s="11">
        <v>5</v>
      </c>
      <c r="P17" s="11">
        <v>3</v>
      </c>
      <c r="Q17" s="11">
        <v>5</v>
      </c>
      <c r="R17" s="12">
        <f t="shared" si="1"/>
        <v>75</v>
      </c>
    </row>
    <row r="18" spans="1:18" ht="38.25" x14ac:dyDescent="0.2">
      <c r="A18" s="6"/>
      <c r="B18" s="6" t="s">
        <v>153</v>
      </c>
      <c r="C18" s="6" t="s">
        <v>136</v>
      </c>
      <c r="D18" s="6" t="s">
        <v>154</v>
      </c>
      <c r="E18" s="8">
        <v>7</v>
      </c>
      <c r="F18" s="6" t="s">
        <v>138</v>
      </c>
      <c r="G18" s="6" t="s">
        <v>155</v>
      </c>
      <c r="H18" s="8">
        <v>7</v>
      </c>
      <c r="I18" s="6" t="s">
        <v>150</v>
      </c>
      <c r="J18" s="9">
        <v>5</v>
      </c>
      <c r="K18" s="10">
        <f t="shared" si="0"/>
        <v>245</v>
      </c>
      <c r="L18" s="8" t="s">
        <v>156</v>
      </c>
      <c r="M18" s="8" t="s">
        <v>157</v>
      </c>
      <c r="N18" s="11" t="s">
        <v>158</v>
      </c>
      <c r="O18" s="11">
        <v>5</v>
      </c>
      <c r="P18" s="11">
        <v>5</v>
      </c>
      <c r="Q18" s="11">
        <v>5</v>
      </c>
      <c r="R18" s="12">
        <f t="shared" si="1"/>
        <v>125</v>
      </c>
    </row>
    <row r="19" spans="1:18" ht="38.25" x14ac:dyDescent="0.2">
      <c r="A19" s="6"/>
      <c r="B19" s="6"/>
      <c r="C19" s="6"/>
      <c r="D19" s="6"/>
      <c r="E19" s="8">
        <v>7</v>
      </c>
      <c r="F19" s="6" t="s">
        <v>143</v>
      </c>
      <c r="G19" s="6" t="s">
        <v>144</v>
      </c>
      <c r="H19" s="8">
        <v>5</v>
      </c>
      <c r="I19" s="6" t="s">
        <v>150</v>
      </c>
      <c r="J19" s="9">
        <v>5</v>
      </c>
      <c r="K19" s="10">
        <f t="shared" si="0"/>
        <v>175</v>
      </c>
      <c r="L19" s="8" t="s">
        <v>159</v>
      </c>
      <c r="M19" s="8" t="s">
        <v>146</v>
      </c>
      <c r="N19" s="11" t="s">
        <v>147</v>
      </c>
      <c r="O19" s="11">
        <v>5</v>
      </c>
      <c r="P19" s="11">
        <v>3</v>
      </c>
      <c r="Q19" s="11">
        <v>5</v>
      </c>
      <c r="R19" s="12">
        <f t="shared" si="1"/>
        <v>75</v>
      </c>
    </row>
    <row r="20" spans="1:18" ht="38.25" x14ac:dyDescent="0.2">
      <c r="A20" s="6"/>
      <c r="B20" s="6"/>
      <c r="C20" s="6" t="s">
        <v>148</v>
      </c>
      <c r="D20" s="60" t="s">
        <v>160</v>
      </c>
      <c r="E20" s="8">
        <v>7</v>
      </c>
      <c r="F20" s="6" t="s">
        <v>138</v>
      </c>
      <c r="G20" s="6" t="s">
        <v>139</v>
      </c>
      <c r="H20" s="8">
        <v>7</v>
      </c>
      <c r="I20" s="6" t="s">
        <v>150</v>
      </c>
      <c r="J20" s="9">
        <v>5</v>
      </c>
      <c r="K20" s="10">
        <f t="shared" si="0"/>
        <v>245</v>
      </c>
      <c r="L20" s="8" t="s">
        <v>156</v>
      </c>
      <c r="M20" s="8" t="s">
        <v>142</v>
      </c>
      <c r="N20" s="11" t="s">
        <v>158</v>
      </c>
      <c r="O20" s="11">
        <v>5</v>
      </c>
      <c r="P20" s="11">
        <v>5</v>
      </c>
      <c r="Q20" s="11">
        <v>5</v>
      </c>
      <c r="R20" s="12">
        <f t="shared" si="1"/>
        <v>125</v>
      </c>
    </row>
    <row r="21" spans="1:18" ht="38.25" x14ac:dyDescent="0.2">
      <c r="A21" s="6"/>
      <c r="B21" s="6"/>
      <c r="C21" s="6"/>
      <c r="D21" s="6"/>
      <c r="E21" s="8">
        <v>7</v>
      </c>
      <c r="F21" s="6" t="s">
        <v>151</v>
      </c>
      <c r="G21" s="6" t="s">
        <v>144</v>
      </c>
      <c r="H21" s="8">
        <v>5</v>
      </c>
      <c r="I21" s="6" t="s">
        <v>150</v>
      </c>
      <c r="J21" s="9">
        <v>5</v>
      </c>
      <c r="K21" s="10">
        <f t="shared" si="0"/>
        <v>175</v>
      </c>
      <c r="L21" s="8" t="s">
        <v>159</v>
      </c>
      <c r="M21" s="8" t="s">
        <v>146</v>
      </c>
      <c r="N21" s="11" t="s">
        <v>147</v>
      </c>
      <c r="O21" s="11">
        <v>5</v>
      </c>
      <c r="P21" s="11">
        <v>3</v>
      </c>
      <c r="Q21" s="11">
        <v>5</v>
      </c>
      <c r="R21" s="12">
        <f t="shared" si="1"/>
        <v>75</v>
      </c>
    </row>
    <row r="22" spans="1:18" x14ac:dyDescent="0.2">
      <c r="A22" s="6"/>
      <c r="B22" s="6"/>
      <c r="C22" s="6"/>
      <c r="D22" s="6"/>
      <c r="E22" s="8"/>
      <c r="F22" s="6"/>
      <c r="G22" s="6"/>
      <c r="H22" s="8"/>
      <c r="I22" s="6"/>
      <c r="J22" s="9"/>
      <c r="K22" s="10">
        <f t="shared" si="0"/>
        <v>0</v>
      </c>
      <c r="L22" s="8"/>
      <c r="M22" s="8"/>
      <c r="N22" s="11"/>
      <c r="O22" s="11"/>
      <c r="P22" s="11"/>
      <c r="Q22" s="11"/>
      <c r="R22" s="12">
        <f t="shared" si="1"/>
        <v>0</v>
      </c>
    </row>
    <row r="23" spans="1:18" x14ac:dyDescent="0.2">
      <c r="A23" s="6"/>
      <c r="B23" s="6"/>
      <c r="C23" s="6"/>
      <c r="D23" s="6"/>
      <c r="E23" s="8"/>
      <c r="F23" s="6"/>
      <c r="G23" s="6"/>
      <c r="H23" s="8"/>
      <c r="I23" s="6"/>
      <c r="J23" s="9"/>
      <c r="K23" s="10">
        <f t="shared" si="0"/>
        <v>0</v>
      </c>
      <c r="L23" s="8"/>
      <c r="M23" s="8"/>
      <c r="N23" s="11"/>
      <c r="O23" s="11"/>
      <c r="P23" s="11"/>
      <c r="Q23" s="11"/>
      <c r="R23" s="12">
        <f t="shared" si="1"/>
        <v>0</v>
      </c>
    </row>
    <row r="24" spans="1:18" x14ac:dyDescent="0.2">
      <c r="A24" s="6"/>
      <c r="B24" s="6"/>
      <c r="C24" s="6"/>
      <c r="D24" s="6"/>
      <c r="E24" s="8"/>
      <c r="F24" s="6"/>
      <c r="G24" s="6"/>
      <c r="H24" s="8"/>
      <c r="I24" s="6"/>
      <c r="J24" s="9"/>
      <c r="K24" s="10">
        <f t="shared" si="0"/>
        <v>0</v>
      </c>
      <c r="L24" s="8"/>
      <c r="M24" s="8"/>
      <c r="N24" s="11"/>
      <c r="O24" s="11"/>
      <c r="P24" s="11"/>
      <c r="Q24" s="11"/>
      <c r="R24" s="12">
        <f t="shared" si="1"/>
        <v>0</v>
      </c>
    </row>
    <row r="25" spans="1:18" x14ac:dyDescent="0.2">
      <c r="A25" s="6"/>
      <c r="B25" s="6"/>
      <c r="C25" s="6"/>
      <c r="D25" s="6"/>
      <c r="E25" s="8"/>
      <c r="F25" s="6"/>
      <c r="G25" s="6"/>
      <c r="H25" s="8"/>
      <c r="I25" s="6"/>
      <c r="J25" s="9"/>
      <c r="K25" s="10">
        <f t="shared" si="0"/>
        <v>0</v>
      </c>
      <c r="L25" s="8"/>
      <c r="M25" s="8"/>
      <c r="N25" s="11"/>
      <c r="O25" s="11"/>
      <c r="P25" s="11"/>
      <c r="Q25" s="11"/>
      <c r="R25" s="12">
        <f t="shared" si="1"/>
        <v>0</v>
      </c>
    </row>
    <row r="26" spans="1:18" x14ac:dyDescent="0.2">
      <c r="A26" s="6"/>
      <c r="B26" s="6"/>
      <c r="C26" s="6"/>
      <c r="D26" s="6"/>
      <c r="E26" s="8"/>
      <c r="F26" s="6"/>
      <c r="G26" s="6"/>
      <c r="H26" s="8"/>
      <c r="I26" s="6"/>
      <c r="J26" s="9"/>
      <c r="K26" s="10">
        <f t="shared" si="0"/>
        <v>0</v>
      </c>
      <c r="L26" s="8"/>
      <c r="M26" s="8"/>
      <c r="N26" s="11"/>
      <c r="O26" s="11"/>
      <c r="P26" s="11"/>
      <c r="Q26" s="11"/>
      <c r="R26" s="12">
        <f t="shared" si="1"/>
        <v>0</v>
      </c>
    </row>
    <row r="27" spans="1:18" x14ac:dyDescent="0.2">
      <c r="A27" s="6"/>
      <c r="B27" s="6"/>
      <c r="C27" s="6"/>
      <c r="D27" s="6"/>
      <c r="E27" s="8"/>
      <c r="F27" s="6"/>
      <c r="G27" s="6"/>
      <c r="H27" s="8"/>
      <c r="I27" s="6"/>
      <c r="J27" s="9"/>
      <c r="K27" s="10">
        <f t="shared" si="0"/>
        <v>0</v>
      </c>
      <c r="L27" s="8"/>
      <c r="M27" s="8"/>
      <c r="N27" s="11"/>
      <c r="O27" s="11"/>
      <c r="P27" s="11"/>
      <c r="Q27" s="11"/>
      <c r="R27" s="12">
        <f t="shared" si="1"/>
        <v>0</v>
      </c>
    </row>
    <row r="28" spans="1:18" x14ac:dyDescent="0.2">
      <c r="A28" s="6"/>
      <c r="B28" s="6"/>
      <c r="C28" s="6"/>
      <c r="D28" s="6"/>
      <c r="E28" s="8"/>
      <c r="F28" s="6"/>
      <c r="G28" s="6"/>
      <c r="H28" s="8"/>
      <c r="I28" s="6"/>
      <c r="J28" s="9"/>
      <c r="K28" s="10">
        <f t="shared" si="0"/>
        <v>0</v>
      </c>
      <c r="L28" s="8"/>
      <c r="M28" s="8"/>
      <c r="N28" s="11"/>
      <c r="O28" s="11"/>
      <c r="P28" s="11"/>
      <c r="Q28" s="11"/>
      <c r="R28" s="12">
        <f t="shared" si="1"/>
        <v>0</v>
      </c>
    </row>
    <row r="29" spans="1:18" x14ac:dyDescent="0.2">
      <c r="A29" s="6"/>
      <c r="B29" s="6"/>
      <c r="C29" s="6"/>
      <c r="D29" s="6"/>
      <c r="E29" s="8"/>
      <c r="F29" s="6"/>
      <c r="G29" s="6"/>
      <c r="H29" s="8"/>
      <c r="I29" s="6"/>
      <c r="J29" s="9"/>
      <c r="K29" s="10">
        <f t="shared" si="0"/>
        <v>0</v>
      </c>
      <c r="L29" s="8"/>
      <c r="M29" s="8"/>
      <c r="N29" s="11"/>
      <c r="O29" s="11"/>
      <c r="P29" s="11"/>
      <c r="Q29" s="11"/>
      <c r="R29" s="12">
        <f t="shared" si="1"/>
        <v>0</v>
      </c>
    </row>
    <row r="30" spans="1:18" x14ac:dyDescent="0.2">
      <c r="A30" s="6"/>
      <c r="B30" s="6"/>
      <c r="C30" s="6"/>
      <c r="D30" s="6"/>
      <c r="E30" s="8"/>
      <c r="F30" s="6"/>
      <c r="G30" s="6"/>
      <c r="H30" s="8"/>
      <c r="I30" s="6"/>
      <c r="J30" s="9"/>
      <c r="K30" s="10">
        <f t="shared" si="0"/>
        <v>0</v>
      </c>
      <c r="L30" s="8"/>
      <c r="M30" s="8"/>
      <c r="N30" s="11"/>
      <c r="O30" s="11"/>
      <c r="P30" s="11"/>
      <c r="Q30" s="11"/>
      <c r="R30" s="12">
        <f t="shared" si="1"/>
        <v>0</v>
      </c>
    </row>
    <row r="31" spans="1:18" x14ac:dyDescent="0.2">
      <c r="A31" s="6"/>
      <c r="B31" s="6"/>
      <c r="C31" s="6"/>
      <c r="D31" s="6"/>
      <c r="E31" s="8"/>
      <c r="F31" s="6"/>
      <c r="G31" s="6"/>
      <c r="H31" s="8"/>
      <c r="I31" s="6"/>
      <c r="J31" s="9"/>
      <c r="K31" s="10">
        <f t="shared" si="0"/>
        <v>0</v>
      </c>
      <c r="L31" s="8"/>
      <c r="M31" s="8"/>
      <c r="N31" s="11"/>
      <c r="O31" s="11"/>
      <c r="P31" s="11"/>
      <c r="Q31" s="11"/>
      <c r="R31" s="12">
        <f t="shared" si="1"/>
        <v>0</v>
      </c>
    </row>
    <row r="32" spans="1:18" x14ac:dyDescent="0.2">
      <c r="A32" s="6"/>
      <c r="B32" s="6"/>
      <c r="C32" s="6"/>
      <c r="D32" s="6"/>
      <c r="E32" s="8"/>
      <c r="F32" s="6"/>
      <c r="G32" s="6"/>
      <c r="H32" s="8"/>
      <c r="I32" s="6"/>
      <c r="J32" s="9"/>
      <c r="K32" s="10">
        <f t="shared" si="0"/>
        <v>0</v>
      </c>
      <c r="L32" s="8"/>
      <c r="M32" s="8"/>
      <c r="N32" s="11"/>
      <c r="O32" s="11"/>
      <c r="P32" s="11"/>
      <c r="Q32" s="11"/>
      <c r="R32" s="12">
        <f t="shared" si="1"/>
        <v>0</v>
      </c>
    </row>
    <row r="33" spans="1:18" x14ac:dyDescent="0.2">
      <c r="A33" s="6"/>
      <c r="B33" s="6"/>
      <c r="C33" s="6"/>
      <c r="D33" s="6"/>
      <c r="E33" s="8"/>
      <c r="F33" s="6"/>
      <c r="G33" s="6"/>
      <c r="H33" s="8"/>
      <c r="I33" s="6"/>
      <c r="J33" s="9"/>
      <c r="K33" s="10">
        <f t="shared" si="0"/>
        <v>0</v>
      </c>
      <c r="L33" s="8"/>
      <c r="M33" s="8"/>
      <c r="N33" s="11"/>
      <c r="O33" s="11"/>
      <c r="P33" s="11"/>
      <c r="Q33" s="11"/>
      <c r="R33" s="12">
        <f t="shared" si="1"/>
        <v>0</v>
      </c>
    </row>
    <row r="34" spans="1:18" x14ac:dyDescent="0.2">
      <c r="A34" s="6"/>
      <c r="B34" s="6"/>
      <c r="C34" s="6"/>
      <c r="D34" s="6"/>
      <c r="E34" s="8"/>
      <c r="F34" s="6"/>
      <c r="G34" s="6"/>
      <c r="H34" s="8"/>
      <c r="I34" s="6"/>
      <c r="J34" s="9"/>
      <c r="K34" s="10">
        <f t="shared" si="0"/>
        <v>0</v>
      </c>
      <c r="L34" s="8"/>
      <c r="M34" s="8"/>
      <c r="N34" s="11"/>
      <c r="O34" s="11"/>
      <c r="P34" s="11"/>
      <c r="Q34" s="11"/>
      <c r="R34" s="12">
        <f t="shared" si="1"/>
        <v>0</v>
      </c>
    </row>
    <row r="35" spans="1:18" x14ac:dyDescent="0.2">
      <c r="A35" s="6"/>
      <c r="B35" s="6"/>
      <c r="C35" s="6"/>
      <c r="D35" s="6"/>
      <c r="E35" s="8"/>
      <c r="F35" s="6"/>
      <c r="G35" s="6"/>
      <c r="H35" s="8"/>
      <c r="I35" s="6"/>
      <c r="J35" s="9"/>
      <c r="K35" s="10">
        <f t="shared" si="0"/>
        <v>0</v>
      </c>
      <c r="L35" s="8"/>
      <c r="M35" s="8"/>
      <c r="N35" s="11"/>
      <c r="O35" s="11"/>
      <c r="P35" s="11"/>
      <c r="Q35" s="11"/>
      <c r="R35" s="12">
        <f t="shared" si="1"/>
        <v>0</v>
      </c>
    </row>
    <row r="36" spans="1:18" x14ac:dyDescent="0.2">
      <c r="A36" s="6"/>
      <c r="B36" s="6"/>
      <c r="C36" s="6"/>
      <c r="D36" s="6"/>
      <c r="E36" s="8"/>
      <c r="F36" s="6"/>
      <c r="G36" s="6"/>
      <c r="H36" s="8"/>
      <c r="I36" s="6"/>
      <c r="J36" s="9"/>
      <c r="K36" s="10">
        <f t="shared" ref="K36:K56" si="2">E36*H36*J36</f>
        <v>0</v>
      </c>
      <c r="L36" s="8"/>
      <c r="M36" s="8"/>
      <c r="N36" s="11"/>
      <c r="O36" s="11"/>
      <c r="P36" s="11"/>
      <c r="Q36" s="11"/>
      <c r="R36" s="12">
        <f t="shared" si="1"/>
        <v>0</v>
      </c>
    </row>
    <row r="37" spans="1:18" x14ac:dyDescent="0.2">
      <c r="A37" s="6"/>
      <c r="B37" s="6"/>
      <c r="C37" s="6"/>
      <c r="D37" s="6"/>
      <c r="E37" s="8"/>
      <c r="F37" s="6"/>
      <c r="G37" s="6"/>
      <c r="H37" s="8"/>
      <c r="I37" s="6"/>
      <c r="J37" s="9"/>
      <c r="K37" s="10">
        <f t="shared" si="2"/>
        <v>0</v>
      </c>
      <c r="L37" s="8"/>
      <c r="M37" s="8"/>
      <c r="N37" s="11"/>
      <c r="O37" s="11"/>
      <c r="P37" s="11"/>
      <c r="Q37" s="11"/>
      <c r="R37" s="12">
        <f t="shared" si="1"/>
        <v>0</v>
      </c>
    </row>
    <row r="38" spans="1:18" x14ac:dyDescent="0.2">
      <c r="A38" s="6"/>
      <c r="B38" s="6"/>
      <c r="C38" s="6"/>
      <c r="D38" s="6"/>
      <c r="E38" s="8"/>
      <c r="F38" s="6"/>
      <c r="G38" s="6"/>
      <c r="H38" s="8"/>
      <c r="I38" s="6"/>
      <c r="J38" s="9"/>
      <c r="K38" s="10">
        <f t="shared" si="2"/>
        <v>0</v>
      </c>
      <c r="L38" s="8"/>
      <c r="M38" s="8"/>
      <c r="N38" s="11"/>
      <c r="O38" s="11"/>
      <c r="P38" s="11"/>
      <c r="Q38" s="11"/>
      <c r="R38" s="12">
        <f t="shared" si="1"/>
        <v>0</v>
      </c>
    </row>
    <row r="39" spans="1:18" x14ac:dyDescent="0.2">
      <c r="A39" s="11"/>
      <c r="B39" s="11"/>
      <c r="C39" s="11"/>
      <c r="D39" s="11"/>
      <c r="E39" s="8"/>
      <c r="F39" s="11"/>
      <c r="G39" s="11"/>
      <c r="H39" s="8"/>
      <c r="I39" s="11"/>
      <c r="J39" s="9"/>
      <c r="K39" s="10">
        <f t="shared" si="2"/>
        <v>0</v>
      </c>
      <c r="L39" s="11"/>
      <c r="M39" s="11"/>
      <c r="N39" s="11"/>
      <c r="O39" s="11"/>
      <c r="P39" s="11"/>
      <c r="Q39" s="11"/>
      <c r="R39" s="12">
        <f t="shared" si="1"/>
        <v>0</v>
      </c>
    </row>
    <row r="40" spans="1:18" x14ac:dyDescent="0.2">
      <c r="A40" s="6"/>
      <c r="B40" s="6"/>
      <c r="C40" s="6"/>
      <c r="D40" s="6"/>
      <c r="E40" s="8"/>
      <c r="F40" s="6"/>
      <c r="G40" s="6"/>
      <c r="H40" s="8"/>
      <c r="I40" s="6"/>
      <c r="J40" s="9"/>
      <c r="K40" s="10">
        <f t="shared" si="2"/>
        <v>0</v>
      </c>
      <c r="L40" s="8"/>
      <c r="M40" s="8"/>
      <c r="N40" s="11"/>
      <c r="O40" s="11"/>
      <c r="P40" s="11"/>
      <c r="Q40" s="11"/>
      <c r="R40" s="12">
        <f t="shared" si="1"/>
        <v>0</v>
      </c>
    </row>
    <row r="41" spans="1:18" x14ac:dyDescent="0.2">
      <c r="A41" s="6"/>
      <c r="B41" s="6"/>
      <c r="C41" s="6"/>
      <c r="D41" s="6"/>
      <c r="E41" s="8"/>
      <c r="F41" s="6"/>
      <c r="G41" s="6"/>
      <c r="H41" s="8"/>
      <c r="I41" s="6"/>
      <c r="J41" s="9"/>
      <c r="K41" s="10">
        <f t="shared" si="2"/>
        <v>0</v>
      </c>
      <c r="L41" s="8"/>
      <c r="M41" s="8"/>
      <c r="N41" s="11"/>
      <c r="O41" s="11"/>
      <c r="P41" s="11"/>
      <c r="Q41" s="11"/>
      <c r="R41" s="12">
        <f t="shared" si="1"/>
        <v>0</v>
      </c>
    </row>
    <row r="42" spans="1:18" x14ac:dyDescent="0.2">
      <c r="A42" s="6"/>
      <c r="B42" s="6"/>
      <c r="C42" s="6"/>
      <c r="D42" s="6"/>
      <c r="E42" s="8"/>
      <c r="F42" s="6"/>
      <c r="G42" s="6"/>
      <c r="H42" s="8"/>
      <c r="I42" s="6"/>
      <c r="J42" s="9"/>
      <c r="K42" s="10">
        <f t="shared" si="2"/>
        <v>0</v>
      </c>
      <c r="L42" s="8"/>
      <c r="M42" s="8"/>
      <c r="N42" s="11"/>
      <c r="O42" s="11"/>
      <c r="P42" s="11"/>
      <c r="Q42" s="11"/>
      <c r="R42" s="12">
        <f t="shared" si="1"/>
        <v>0</v>
      </c>
    </row>
    <row r="43" spans="1:18" x14ac:dyDescent="0.2">
      <c r="A43" s="6"/>
      <c r="B43" s="6"/>
      <c r="C43" s="6"/>
      <c r="D43" s="6"/>
      <c r="E43" s="8"/>
      <c r="F43" s="6"/>
      <c r="G43" s="6"/>
      <c r="H43" s="8"/>
      <c r="I43" s="6"/>
      <c r="J43" s="9"/>
      <c r="K43" s="10">
        <f t="shared" si="2"/>
        <v>0</v>
      </c>
      <c r="L43" s="8"/>
      <c r="M43" s="8"/>
      <c r="N43" s="11"/>
      <c r="O43" s="11"/>
      <c r="P43" s="11"/>
      <c r="Q43" s="11"/>
      <c r="R43" s="12">
        <f t="shared" si="1"/>
        <v>0</v>
      </c>
    </row>
    <row r="44" spans="1:18" x14ac:dyDescent="0.2">
      <c r="A44" s="13"/>
      <c r="B44" s="13"/>
      <c r="C44" s="13"/>
      <c r="D44" s="7"/>
      <c r="E44" s="8"/>
      <c r="F44" s="7"/>
      <c r="G44" s="7"/>
      <c r="H44" s="8"/>
      <c r="I44" s="7"/>
      <c r="J44" s="9"/>
      <c r="K44" s="10">
        <f t="shared" si="2"/>
        <v>0</v>
      </c>
      <c r="L44" s="8"/>
      <c r="M44" s="8"/>
      <c r="N44" s="11"/>
      <c r="O44" s="11"/>
      <c r="P44" s="11"/>
      <c r="Q44" s="11"/>
      <c r="R44" s="12">
        <f t="shared" si="1"/>
        <v>0</v>
      </c>
    </row>
    <row r="45" spans="1:18" x14ac:dyDescent="0.2">
      <c r="A45" s="13"/>
      <c r="B45" s="13"/>
      <c r="C45" s="13"/>
      <c r="D45" s="7"/>
      <c r="E45" s="8"/>
      <c r="F45" s="7"/>
      <c r="G45" s="7"/>
      <c r="H45" s="8"/>
      <c r="I45" s="7"/>
      <c r="J45" s="9"/>
      <c r="K45" s="10">
        <f t="shared" si="2"/>
        <v>0</v>
      </c>
      <c r="L45" s="8"/>
      <c r="M45" s="8"/>
      <c r="N45" s="11"/>
      <c r="O45" s="11"/>
      <c r="P45" s="11"/>
      <c r="Q45" s="11"/>
      <c r="R45" s="12">
        <f t="shared" si="1"/>
        <v>0</v>
      </c>
    </row>
    <row r="46" spans="1:18" x14ac:dyDescent="0.2">
      <c r="A46" s="8"/>
      <c r="B46" s="8"/>
      <c r="C46" s="8"/>
      <c r="D46" s="8"/>
      <c r="E46" s="8"/>
      <c r="F46" s="8"/>
      <c r="G46" s="11"/>
      <c r="H46" s="8"/>
      <c r="I46" s="11"/>
      <c r="J46" s="9"/>
      <c r="K46" s="10">
        <f t="shared" si="2"/>
        <v>0</v>
      </c>
      <c r="L46" s="8"/>
      <c r="M46" s="8"/>
      <c r="N46" s="8"/>
      <c r="O46" s="11"/>
      <c r="P46" s="11"/>
      <c r="Q46" s="11"/>
      <c r="R46" s="12">
        <f t="shared" si="1"/>
        <v>0</v>
      </c>
    </row>
    <row r="47" spans="1:18" x14ac:dyDescent="0.2">
      <c r="A47" s="8"/>
      <c r="B47" s="8"/>
      <c r="C47" s="8"/>
      <c r="D47" s="8"/>
      <c r="E47" s="8"/>
      <c r="F47" s="8"/>
      <c r="G47" s="11"/>
      <c r="H47" s="8"/>
      <c r="I47" s="11"/>
      <c r="J47" s="9"/>
      <c r="K47" s="10">
        <f t="shared" si="2"/>
        <v>0</v>
      </c>
      <c r="L47" s="8"/>
      <c r="M47" s="11"/>
      <c r="N47" s="11"/>
      <c r="O47" s="11"/>
      <c r="P47" s="11"/>
      <c r="Q47" s="11"/>
      <c r="R47" s="12">
        <f t="shared" si="1"/>
        <v>0</v>
      </c>
    </row>
    <row r="48" spans="1:18" x14ac:dyDescent="0.2">
      <c r="A48" s="8"/>
      <c r="B48" s="8"/>
      <c r="C48" s="8"/>
      <c r="D48" s="11"/>
      <c r="E48" s="8"/>
      <c r="F48" s="8"/>
      <c r="G48" s="11"/>
      <c r="H48" s="8"/>
      <c r="I48" s="11"/>
      <c r="J48" s="9"/>
      <c r="K48" s="10">
        <f t="shared" si="2"/>
        <v>0</v>
      </c>
      <c r="L48" s="8"/>
      <c r="M48" s="8"/>
      <c r="N48" s="11"/>
      <c r="O48" s="11"/>
      <c r="P48" s="11"/>
      <c r="Q48" s="11"/>
      <c r="R48" s="12">
        <f t="shared" si="1"/>
        <v>0</v>
      </c>
    </row>
    <row r="49" spans="1:18" x14ac:dyDescent="0.2">
      <c r="A49" s="8"/>
      <c r="B49" s="8"/>
      <c r="C49" s="8"/>
      <c r="D49" s="11"/>
      <c r="E49" s="8"/>
      <c r="F49" s="8"/>
      <c r="G49" s="11"/>
      <c r="H49" s="8"/>
      <c r="I49" s="11"/>
      <c r="J49" s="9"/>
      <c r="K49" s="10">
        <f t="shared" si="2"/>
        <v>0</v>
      </c>
      <c r="L49" s="8"/>
      <c r="M49" s="8"/>
      <c r="N49" s="11"/>
      <c r="O49" s="11"/>
      <c r="P49" s="11"/>
      <c r="Q49" s="11"/>
      <c r="R49" s="12">
        <f t="shared" si="1"/>
        <v>0</v>
      </c>
    </row>
    <row r="50" spans="1:18" x14ac:dyDescent="0.2">
      <c r="A50" s="8"/>
      <c r="B50" s="8"/>
      <c r="C50" s="8"/>
      <c r="D50" s="11"/>
      <c r="E50" s="8"/>
      <c r="F50" s="8"/>
      <c r="G50" s="11"/>
      <c r="H50" s="8"/>
      <c r="I50" s="11"/>
      <c r="J50" s="9"/>
      <c r="K50" s="10">
        <f t="shared" si="2"/>
        <v>0</v>
      </c>
      <c r="L50" s="8"/>
      <c r="M50" s="8"/>
      <c r="N50" s="11"/>
      <c r="O50" s="11"/>
      <c r="P50" s="11"/>
      <c r="Q50" s="11"/>
      <c r="R50" s="12">
        <f t="shared" si="1"/>
        <v>0</v>
      </c>
    </row>
    <row r="51" spans="1:18" x14ac:dyDescent="0.2">
      <c r="A51" s="13"/>
      <c r="B51" s="13"/>
      <c r="C51" s="13"/>
      <c r="D51" s="13"/>
      <c r="E51" s="8"/>
      <c r="F51" s="14"/>
      <c r="G51" s="14"/>
      <c r="H51" s="8"/>
      <c r="I51" s="14"/>
      <c r="J51" s="9"/>
      <c r="K51" s="10">
        <f t="shared" si="2"/>
        <v>0</v>
      </c>
      <c r="L51" s="11"/>
      <c r="M51" s="11"/>
      <c r="N51" s="11"/>
      <c r="O51" s="11"/>
      <c r="P51" s="11"/>
      <c r="Q51" s="11"/>
      <c r="R51" s="12">
        <f t="shared" si="1"/>
        <v>0</v>
      </c>
    </row>
    <row r="52" spans="1:18" x14ac:dyDescent="0.2">
      <c r="A52" s="8"/>
      <c r="B52" s="8"/>
      <c r="C52" s="8"/>
      <c r="D52" s="11"/>
      <c r="E52" s="8"/>
      <c r="F52" s="11"/>
      <c r="G52" s="11"/>
      <c r="H52" s="8"/>
      <c r="I52" s="11"/>
      <c r="J52" s="9"/>
      <c r="K52" s="10">
        <f t="shared" si="2"/>
        <v>0</v>
      </c>
      <c r="L52" s="11"/>
      <c r="M52" s="11"/>
      <c r="N52" s="11"/>
      <c r="O52" s="11"/>
      <c r="P52" s="11"/>
      <c r="Q52" s="11"/>
      <c r="R52" s="12">
        <f t="shared" si="1"/>
        <v>0</v>
      </c>
    </row>
    <row r="53" spans="1:18" x14ac:dyDescent="0.2">
      <c r="A53" s="8"/>
      <c r="B53" s="8"/>
      <c r="C53" s="8"/>
      <c r="D53" s="11"/>
      <c r="E53" s="8"/>
      <c r="F53" s="11"/>
      <c r="G53" s="11"/>
      <c r="H53" s="8"/>
      <c r="I53" s="11"/>
      <c r="J53" s="9"/>
      <c r="K53" s="10">
        <f t="shared" si="2"/>
        <v>0</v>
      </c>
      <c r="L53" s="8"/>
      <c r="M53" s="11"/>
      <c r="N53" s="11"/>
      <c r="O53" s="11"/>
      <c r="P53" s="11"/>
      <c r="Q53" s="11"/>
      <c r="R53" s="12">
        <f t="shared" si="1"/>
        <v>0</v>
      </c>
    </row>
    <row r="54" spans="1:18" x14ac:dyDescent="0.2">
      <c r="A54" s="8"/>
      <c r="B54" s="8"/>
      <c r="C54" s="8"/>
      <c r="D54" s="11"/>
      <c r="E54" s="8"/>
      <c r="F54" s="11"/>
      <c r="G54" s="11"/>
      <c r="H54" s="8"/>
      <c r="I54" s="11"/>
      <c r="J54" s="9"/>
      <c r="K54" s="10">
        <f t="shared" si="2"/>
        <v>0</v>
      </c>
      <c r="L54" s="8"/>
      <c r="M54" s="8"/>
      <c r="N54" s="11"/>
      <c r="O54" s="11"/>
      <c r="P54" s="11"/>
      <c r="Q54" s="11"/>
      <c r="R54" s="12">
        <f t="shared" si="1"/>
        <v>0</v>
      </c>
    </row>
    <row r="55" spans="1:18" x14ac:dyDescent="0.2">
      <c r="A55" s="8"/>
      <c r="B55" s="8"/>
      <c r="C55" s="8"/>
      <c r="D55" s="11"/>
      <c r="E55" s="8"/>
      <c r="F55" s="11"/>
      <c r="G55" s="11"/>
      <c r="H55" s="8"/>
      <c r="I55" s="11"/>
      <c r="J55" s="9"/>
      <c r="K55" s="10">
        <f t="shared" si="2"/>
        <v>0</v>
      </c>
      <c r="L55" s="8"/>
      <c r="M55" s="11"/>
      <c r="N55" s="11"/>
      <c r="O55" s="11"/>
      <c r="P55" s="11"/>
      <c r="Q55" s="11"/>
      <c r="R55" s="12">
        <f t="shared" si="1"/>
        <v>0</v>
      </c>
    </row>
    <row r="56" spans="1:18" x14ac:dyDescent="0.2">
      <c r="A56" s="6"/>
      <c r="B56" s="6"/>
      <c r="C56" s="6"/>
      <c r="D56" s="6"/>
      <c r="E56" s="8"/>
      <c r="F56" s="6"/>
      <c r="G56" s="6"/>
      <c r="H56" s="8"/>
      <c r="I56" s="6"/>
      <c r="J56" s="9"/>
      <c r="K56" s="10">
        <f t="shared" si="2"/>
        <v>0</v>
      </c>
      <c r="L56" s="8"/>
      <c r="M56" s="8"/>
      <c r="N56" s="11"/>
      <c r="O56" s="11"/>
      <c r="P56" s="11"/>
      <c r="Q56" s="11"/>
      <c r="R56" s="12">
        <f t="shared" si="1"/>
        <v>0</v>
      </c>
    </row>
  </sheetData>
  <mergeCells count="15">
    <mergeCell ref="B1:C1"/>
    <mergeCell ref="L2:L3"/>
    <mergeCell ref="M2:M3"/>
    <mergeCell ref="G2:G3"/>
    <mergeCell ref="H2:H3"/>
    <mergeCell ref="I2:I3"/>
    <mergeCell ref="J2:J3"/>
    <mergeCell ref="K2:K3"/>
    <mergeCell ref="N2:R2"/>
    <mergeCell ref="A2:A3"/>
    <mergeCell ref="B2:B3"/>
    <mergeCell ref="C2:C3"/>
    <mergeCell ref="D2:D3"/>
    <mergeCell ref="E2:E3"/>
    <mergeCell ref="F2:F3"/>
  </mergeCells>
  <dataValidations count="1">
    <dataValidation type="whole" allowBlank="1" showInputMessage="1" showErrorMessage="1" sqref="H4:H56 J4:J56 E4:E56" xr:uid="{00000000-0002-0000-0300-000000000000}">
      <formula1>1</formula1>
      <formula2>10</formula2>
    </dataValidation>
  </dataValidations>
  <pageMargins left="0.75" right="0.75" top="1" bottom="1" header="0.5" footer="0.5"/>
  <pageSetup paperSize="17" scale="74" fitToHeight="20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170634DAE3C04F945CBFEE6FF5673C" ma:contentTypeVersion="12" ma:contentTypeDescription="Create a new document." ma:contentTypeScope="" ma:versionID="1dc2beeaec43c5c2a9417e3f4a2ce84a">
  <xsd:schema xmlns:xsd="http://www.w3.org/2001/XMLSchema" xmlns:xs="http://www.w3.org/2001/XMLSchema" xmlns:p="http://schemas.microsoft.com/office/2006/metadata/properties" xmlns:ns2="04a5cac6-8804-4e1e-9908-1a862ce141b2" xmlns:ns3="395ae463-6ee2-42e1-bfb6-1791b281e7ba" targetNamespace="http://schemas.microsoft.com/office/2006/metadata/properties" ma:root="true" ma:fieldsID="dca19c8a298740c5f6c90072cc68f872" ns2:_="" ns3:_="">
    <xsd:import namespace="04a5cac6-8804-4e1e-9908-1a862ce141b2"/>
    <xsd:import namespace="395ae463-6ee2-42e1-bfb6-1791b281e7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a5cac6-8804-4e1e-9908-1a862ce141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5ae463-6ee2-42e1-bfb6-1791b281e7b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82D8B4-C89A-4AB6-933E-9FC2456081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4B71D7-CE71-4680-BA6E-66D7BACE1989}"/>
</file>

<file path=customXml/itemProps3.xml><?xml version="1.0" encoding="utf-8"?>
<ds:datastoreItem xmlns:ds="http://schemas.openxmlformats.org/officeDocument/2006/customXml" ds:itemID="{F89A7F5E-81E2-4185-9013-672A74963A6F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04a5cac6-8804-4e1e-9908-1a862ce141b2"/>
    <ds:schemaRef ds:uri="http://purl.org/dc/terms/"/>
    <ds:schemaRef ds:uri="395ae463-6ee2-42e1-bfb6-1791b281e7ba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Cover Page</vt:lpstr>
      <vt:lpstr>Ground Rules</vt:lpstr>
      <vt:lpstr>Scales</vt:lpstr>
      <vt:lpstr>FMEA - Form</vt:lpstr>
      <vt:lpstr>'FMEA - Form'!Print_Area</vt:lpstr>
    </vt:vector>
  </TitlesOfParts>
  <Manager/>
  <Company>Northern Power Systems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FMEA</dc:title>
  <dc:subject>Quality</dc:subject>
  <dc:creator/>
  <cp:keywords/>
  <dc:description>based on FMEAs from pp. 370-380, Implementing Six Sigma, 2nd ed., Breyfogle, Wiley, c. 2003</dc:description>
  <cp:lastModifiedBy>Jake Varakian</cp:lastModifiedBy>
  <cp:revision/>
  <dcterms:created xsi:type="dcterms:W3CDTF">2003-12-19T15:46:05Z</dcterms:created>
  <dcterms:modified xsi:type="dcterms:W3CDTF">2022-02-25T17:21:11Z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0x01010045170634DAE3C04F945CBFEE6FF5673C</vt:lpwstr>
  </property>
</Properties>
</file>